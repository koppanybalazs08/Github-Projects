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IT\Github Projects\python\penzugy_vizualizator\"/>
    </mc:Choice>
  </mc:AlternateContent>
  <bookViews>
    <workbookView xWindow="0" yWindow="0" windowWidth="20400" windowHeight="7620" tabRatio="500"/>
  </bookViews>
  <sheets>
    <sheet name="2026" sheetId="4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G5" i="4" l="1"/>
  <c r="O2" i="4"/>
  <c r="O4" i="4"/>
  <c r="O5" i="4"/>
  <c r="AC5" i="4" s="1"/>
  <c r="AQ5" i="4" s="1"/>
  <c r="BE5" i="4" s="1"/>
  <c r="BS5" i="4" s="1"/>
  <c r="M6" i="4"/>
  <c r="M17" i="4" s="1"/>
  <c r="M5" i="4"/>
  <c r="M4" i="4"/>
  <c r="G4" i="4"/>
  <c r="FK17" i="4"/>
  <c r="FI17" i="4"/>
  <c r="FG17" i="4"/>
  <c r="FE17" i="4"/>
  <c r="FC17" i="4"/>
  <c r="FM3" i="4" s="1"/>
  <c r="EW17" i="4"/>
  <c r="EU17" i="4"/>
  <c r="ES17" i="4"/>
  <c r="EQ17" i="4"/>
  <c r="EO17" i="4"/>
  <c r="EI17" i="4"/>
  <c r="EG17" i="4"/>
  <c r="EE17" i="4"/>
  <c r="EC17" i="4"/>
  <c r="EA17" i="4"/>
  <c r="DU17" i="4"/>
  <c r="DS17" i="4"/>
  <c r="DQ17" i="4"/>
  <c r="DO17" i="4"/>
  <c r="DM17" i="4"/>
  <c r="DG17" i="4"/>
  <c r="DE17" i="4"/>
  <c r="DC17" i="4"/>
  <c r="DA17" i="4"/>
  <c r="CY17" i="4"/>
  <c r="DI3" i="4" s="1"/>
  <c r="CS17" i="4"/>
  <c r="CQ17" i="4"/>
  <c r="CO17" i="4"/>
  <c r="CM17" i="4"/>
  <c r="CK17" i="4"/>
  <c r="CE17" i="4"/>
  <c r="CC17" i="4"/>
  <c r="CA17" i="4"/>
  <c r="BY17" i="4"/>
  <c r="BW17" i="4"/>
  <c r="BQ17" i="4"/>
  <c r="BO17" i="4"/>
  <c r="BM17" i="4"/>
  <c r="BK17" i="4"/>
  <c r="BI17" i="4"/>
  <c r="BC17" i="4"/>
  <c r="BA17" i="4"/>
  <c r="AY17" i="4"/>
  <c r="AW17" i="4"/>
  <c r="AU17" i="4"/>
  <c r="BE3" i="4" s="1"/>
  <c r="AO17" i="4"/>
  <c r="AM17" i="4"/>
  <c r="AK17" i="4"/>
  <c r="AI17" i="4"/>
  <c r="AG17" i="4"/>
  <c r="AA17" i="4"/>
  <c r="Y17" i="4"/>
  <c r="W17" i="4"/>
  <c r="U17" i="4"/>
  <c r="S17" i="4"/>
  <c r="K17" i="4"/>
  <c r="E17" i="4"/>
  <c r="I17" i="4"/>
  <c r="G17" i="4"/>
  <c r="EY3" i="4"/>
  <c r="EK3" i="4"/>
  <c r="DW3" i="4"/>
  <c r="CU3" i="4"/>
  <c r="CG3" i="4"/>
  <c r="BS3" i="4"/>
  <c r="AQ3" i="4"/>
  <c r="AC3" i="4"/>
  <c r="O3" i="4"/>
  <c r="CU5" i="4" l="1"/>
  <c r="DI5" i="4" s="1"/>
  <c r="DW5" i="4" s="1"/>
  <c r="EK5" i="4" s="1"/>
  <c r="EY5" i="4" s="1"/>
  <c r="FM5" i="4" s="1"/>
  <c r="AC4" i="4"/>
  <c r="AQ4" i="4" s="1"/>
  <c r="BE4" i="4" s="1"/>
  <c r="BS4" i="4" s="1"/>
  <c r="CG4" i="4" s="1"/>
  <c r="CU4" i="4" s="1"/>
  <c r="DI4" i="4" s="1"/>
  <c r="DW4" i="4" s="1"/>
  <c r="EK4" i="4" s="1"/>
  <c r="EY4" i="4" s="1"/>
  <c r="FM4" i="4" s="1"/>
  <c r="AC2" i="4" l="1"/>
  <c r="O7" i="4"/>
  <c r="O6" i="4"/>
  <c r="AC7" i="4" l="1"/>
  <c r="AC6" i="4"/>
  <c r="AQ2" i="4"/>
  <c r="R2" i="4"/>
  <c r="O8" i="4"/>
  <c r="AQ7" i="4" l="1"/>
  <c r="AQ6" i="4"/>
  <c r="BE2" i="4"/>
  <c r="AC8" i="4"/>
  <c r="AF2" i="4"/>
  <c r="BS2" i="4" l="1"/>
  <c r="BE6" i="4"/>
  <c r="BE7" i="4"/>
  <c r="AQ8" i="4"/>
  <c r="AT2" i="4"/>
  <c r="BE8" i="4" l="1"/>
  <c r="BH2" i="4"/>
  <c r="CG2" i="4"/>
  <c r="BS6" i="4"/>
  <c r="BS7" i="4"/>
  <c r="BS8" i="4" l="1"/>
  <c r="BV2" i="4"/>
  <c r="CU2" i="4"/>
  <c r="CG7" i="4"/>
  <c r="CG6" i="4"/>
  <c r="CG8" i="4" l="1"/>
  <c r="CJ2" i="4"/>
  <c r="CU7" i="4"/>
  <c r="CU6" i="4"/>
  <c r="DI2" i="4"/>
  <c r="DW2" i="4" l="1"/>
  <c r="DI6" i="4"/>
  <c r="DI7" i="4"/>
  <c r="CU8" i="4"/>
  <c r="CX2" i="4"/>
  <c r="DI8" i="4" l="1"/>
  <c r="DL2" i="4"/>
  <c r="EK2" i="4"/>
  <c r="DW7" i="4"/>
  <c r="DW6" i="4"/>
  <c r="DZ2" i="4" l="1"/>
  <c r="DW8" i="4"/>
  <c r="EK7" i="4"/>
  <c r="EK6" i="4"/>
  <c r="EY2" i="4"/>
  <c r="EK8" i="4" l="1"/>
  <c r="EN2" i="4"/>
  <c r="EY7" i="4"/>
  <c r="EY6" i="4"/>
  <c r="FM2" i="4"/>
  <c r="FM7" i="4" l="1"/>
  <c r="FM6" i="4"/>
  <c r="EY8" i="4"/>
  <c r="FB2" i="4"/>
  <c r="FM8" i="4" l="1"/>
</calcChain>
</file>

<file path=xl/sharedStrings.xml><?xml version="1.0" encoding="utf-8"?>
<sst xmlns="http://schemas.openxmlformats.org/spreadsheetml/2006/main" count="457" uniqueCount="58">
  <si>
    <t>Bevétel</t>
  </si>
  <si>
    <t>Kiadás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</si>
  <si>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</si>
  <si>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</si>
  <si>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</si>
  <si>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</si>
  <si>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</si>
  <si>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</si>
  <si>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</si>
  <si>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</si>
  <si>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</si>
  <si>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Január</t>
  </si>
  <si>
    <t>Február</t>
  </si>
  <si>
    <t>Március</t>
  </si>
  <si>
    <t>Készpénz</t>
  </si>
  <si>
    <t>Bankkártya</t>
  </si>
  <si>
    <t>Kötvény névérték</t>
  </si>
  <si>
    <t>Összesen</t>
  </si>
  <si>
    <t>Kötvény</t>
  </si>
  <si>
    <t xml:space="preserve">   </t>
  </si>
  <si>
    <t>becslés</t>
  </si>
  <si>
    <t>Jelmagyarázat</t>
  </si>
  <si>
    <t>Nyitó</t>
  </si>
  <si>
    <t>Záró</t>
  </si>
  <si>
    <t>Pénz Típus</t>
  </si>
  <si>
    <t>kötvény</t>
  </si>
  <si>
    <t>Névérték</t>
  </si>
  <si>
    <t>&lt;-megj.</t>
  </si>
  <si>
    <t>készpénz</t>
  </si>
  <si>
    <t>kajára</t>
  </si>
  <si>
    <t>kaja</t>
  </si>
  <si>
    <t>ösztöndíj</t>
  </si>
  <si>
    <t>fizetés</t>
  </si>
  <si>
    <t>bankkártya</t>
  </si>
  <si>
    <t>országbérlet</t>
  </si>
  <si>
    <t>fizetés (+bónusz)</t>
  </si>
  <si>
    <t>gyorskaja</t>
  </si>
  <si>
    <t>Babakötvény</t>
  </si>
  <si>
    <t>karácsonyi pénz</t>
  </si>
  <si>
    <t>babakötvény</t>
  </si>
  <si>
    <t>osztálykép</t>
  </si>
  <si>
    <t>tankönyvek</t>
  </si>
  <si>
    <t>13. havi bónusz</t>
  </si>
  <si>
    <t>függvényes cellák</t>
  </si>
  <si>
    <t>Össz. Likvid</t>
  </si>
  <si>
    <t>nyaralás</t>
  </si>
  <si>
    <t>Össz. nyereség</t>
  </si>
  <si>
    <t xml:space="preserve">      </t>
  </si>
  <si>
    <t>kötvény szumma</t>
  </si>
  <si>
    <t>készpénz össz. bevétel</t>
  </si>
  <si>
    <t>készpénz össz. kiadás</t>
  </si>
  <si>
    <t>kártya össz. betvétel</t>
  </si>
  <si>
    <t>kártya össz. kiadás</t>
  </si>
  <si>
    <t>ajándék</t>
  </si>
  <si>
    <t>levétel</t>
  </si>
  <si>
    <t>mozi</t>
  </si>
  <si>
    <t>strand</t>
  </si>
  <si>
    <t>írószer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</si>
</sst>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Ft&quot;"/>
  </numFmts>
  <fonts count="3" x14ac:knownFonts="1">
    <font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sz val="15"/>
      <color theme="1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theme="8" tint="0.39988402966399123"/>
        <bgColor rgb="FF99CCFF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5"/>
        <bgColor rgb="FFFF8080"/>
      </patternFill>
    </fill>
    <fill>
      <patternFill patternType="solid">
        <fgColor theme="9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CDDC0A"/>
        <bgColor rgb="FF99CC0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CDDC0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theme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medium">
        <color theme="8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8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Border="1"/>
    <xf numFmtId="164" fontId="0" fillId="3" borderId="18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7" borderId="9" xfId="0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9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10" borderId="0" xfId="0" applyNumberFormat="1" applyFont="1" applyFill="1" applyAlignment="1">
      <alignment horizontal="center" vertical="center"/>
    </xf>
    <xf numFmtId="164" fontId="0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0CECE"/>
      <rgbColor rgb="FF808080"/>
      <rgbColor rgb="FF8FAADC"/>
      <rgbColor rgb="FF7030A0"/>
      <rgbColor rgb="FFFFFFCC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CDDC0A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DDC0A"/>
      <color rgb="FFC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7"/>
  <sheetViews>
    <sheetView tabSelected="1" zoomScaleNormal="100" workbookViewId="0">
      <pane xSplit="1" topLeftCell="D1" activePane="topRight" state="frozen"/>
      <selection pane="topRight" activeCell="H6" sqref="H6"/>
    </sheetView>
  </sheetViews>
  <sheetFormatPr defaultColWidth="8.7109375" defaultRowHeight="15" x14ac:dyDescent="0.25"/>
  <cols>
    <col min="1" max="2" width="16.85546875" customWidth="1"/>
    <col min="4" max="4" width="16.85546875" customWidth="1"/>
    <col min="5" max="5" width="9.28515625" customWidth="1"/>
    <col min="6" max="6" width="16" customWidth="1"/>
    <col min="7" max="7" width="7.85546875" customWidth="1"/>
    <col min="8" max="8" width="21.5703125" customWidth="1"/>
    <col min="9" max="9" width="8.5703125" customWidth="1"/>
    <col min="10" max="10" width="20.140625" customWidth="1"/>
    <col min="12" max="12" width="19.42578125" customWidth="1"/>
    <col min="13" max="13" width="13.28515625" customWidth="1"/>
    <col min="14" max="14" width="17.42578125" customWidth="1"/>
    <col min="15" max="15" width="11.85546875" customWidth="1"/>
    <col min="16" max="16" width="16.85546875" customWidth="1"/>
    <col min="18" max="18" width="11" customWidth="1"/>
    <col min="20" max="20" width="16" customWidth="1"/>
    <col min="22" max="22" width="21.5703125" customWidth="1"/>
    <col min="24" max="24" width="20.140625" customWidth="1"/>
    <col min="26" max="26" width="19.42578125" customWidth="1"/>
    <col min="28" max="28" width="18.5703125" customWidth="1"/>
    <col min="29" max="29" width="11" customWidth="1"/>
    <col min="30" max="30" width="16.85546875" customWidth="1"/>
    <col min="32" max="32" width="11" customWidth="1"/>
    <col min="34" max="34" width="16" customWidth="1"/>
    <col min="36" max="36" width="21.5703125" customWidth="1"/>
    <col min="38" max="38" width="20.140625" customWidth="1"/>
    <col min="40" max="40" width="19.42578125" customWidth="1"/>
    <col min="42" max="42" width="18.5703125" customWidth="1"/>
    <col min="43" max="43" width="17" customWidth="1"/>
    <col min="44" max="44" width="16.85546875" customWidth="1"/>
    <col min="46" max="46" width="11" customWidth="1"/>
    <col min="48" max="48" width="16" customWidth="1"/>
    <col min="50" max="50" width="21.5703125" customWidth="1"/>
    <col min="52" max="52" width="20.140625" customWidth="1"/>
    <col min="54" max="54" width="19.42578125" customWidth="1"/>
    <col min="55" max="55" width="11" customWidth="1"/>
    <col min="56" max="56" width="17.42578125" customWidth="1"/>
    <col min="57" max="57" width="11" customWidth="1"/>
    <col min="58" max="58" width="16.85546875" customWidth="1"/>
    <col min="60" max="60" width="11" customWidth="1"/>
    <col min="62" max="62" width="16" customWidth="1"/>
    <col min="64" max="64" width="21.5703125" customWidth="1"/>
    <col min="66" max="66" width="20.140625" customWidth="1"/>
    <col min="68" max="68" width="19.42578125" customWidth="1"/>
    <col min="69" max="69" width="9.5703125" customWidth="1"/>
    <col min="70" max="70" width="17.42578125" customWidth="1"/>
    <col min="71" max="71" width="11" customWidth="1"/>
    <col min="72" max="72" width="16.85546875" customWidth="1"/>
    <col min="74" max="74" width="11" customWidth="1"/>
    <col min="76" max="76" width="16" customWidth="1"/>
    <col min="78" max="78" width="21.5703125" customWidth="1"/>
    <col min="80" max="80" width="20.140625" customWidth="1"/>
    <col min="81" max="81" width="9.5703125" customWidth="1"/>
    <col min="82" max="82" width="19.42578125" customWidth="1"/>
    <col min="83" max="83" width="9.5703125" customWidth="1"/>
    <col min="84" max="84" width="17.42578125" customWidth="1"/>
    <col min="85" max="85" width="11" customWidth="1"/>
    <col min="86" max="86" width="16.85546875" customWidth="1"/>
    <col min="88" max="88" width="11" customWidth="1"/>
    <col min="90" max="90" width="16" customWidth="1"/>
    <col min="92" max="92" width="21.5703125" customWidth="1"/>
    <col min="94" max="94" width="20.140625" customWidth="1"/>
    <col min="95" max="95" width="8.5703125" customWidth="1"/>
    <col min="96" max="96" width="19.42578125" customWidth="1"/>
    <col min="98" max="98" width="17.42578125" customWidth="1"/>
    <col min="99" max="99" width="11" customWidth="1"/>
    <col min="100" max="100" width="16.85546875" customWidth="1"/>
    <col min="102" max="102" width="11" customWidth="1"/>
    <col min="104" max="104" width="16" customWidth="1"/>
    <col min="106" max="106" width="21.5703125" customWidth="1"/>
    <col min="108" max="108" width="20.140625" customWidth="1"/>
    <col min="109" max="109" width="8.5703125" customWidth="1"/>
    <col min="110" max="110" width="19.42578125" customWidth="1"/>
    <col min="111" max="111" width="9.5703125" bestFit="1" customWidth="1"/>
    <col min="112" max="112" width="17.42578125" customWidth="1"/>
    <col min="113" max="113" width="11" customWidth="1"/>
    <col min="114" max="114" width="16.85546875" customWidth="1"/>
    <col min="116" max="116" width="11" customWidth="1"/>
    <col min="118" max="118" width="16" customWidth="1"/>
    <col min="120" max="120" width="21.5703125" customWidth="1"/>
    <col min="122" max="122" width="20.140625" customWidth="1"/>
    <col min="124" max="124" width="19.42578125" customWidth="1"/>
    <col min="125" max="125" width="9.5703125" bestFit="1" customWidth="1"/>
    <col min="126" max="126" width="17.42578125" customWidth="1"/>
    <col min="127" max="127" width="11" customWidth="1"/>
    <col min="128" max="128" width="16.85546875" customWidth="1"/>
    <col min="130" max="130" width="11" customWidth="1"/>
    <col min="139" max="139" width="9.5703125" bestFit="1" customWidth="1"/>
    <col min="140" max="140" width="17.42578125" bestFit="1" customWidth="1"/>
    <col min="141" max="141" width="11" customWidth="1"/>
    <col min="142" max="142" width="16.85546875" customWidth="1"/>
    <col min="144" max="144" width="11" customWidth="1"/>
    <col min="150" max="150" width="20.140625" bestFit="1" customWidth="1"/>
    <col min="151" max="151" width="8.5703125" bestFit="1" customWidth="1"/>
    <col min="152" max="152" width="19.42578125" bestFit="1" customWidth="1"/>
    <col min="153" max="153" width="8.5703125" bestFit="1" customWidth="1"/>
    <col min="154" max="154" width="17.42578125" bestFit="1" customWidth="1"/>
    <col min="155" max="155" width="11" customWidth="1"/>
    <col min="156" max="156" width="16.85546875" bestFit="1" customWidth="1"/>
    <col min="158" max="158" width="11" customWidth="1"/>
    <col min="160" max="160" width="16" bestFit="1" customWidth="1"/>
    <col min="162" max="162" width="21.5703125" bestFit="1" customWidth="1"/>
    <col min="164" max="164" width="20.140625" bestFit="1" customWidth="1"/>
    <col min="165" max="165" width="9.5703125" bestFit="1" customWidth="1"/>
    <col min="166" max="166" width="19.42578125" bestFit="1" customWidth="1"/>
    <col min="167" max="167" width="9.5703125" bestFit="1" customWidth="1"/>
    <col min="168" max="168" width="20.140625" bestFit="1" customWidth="1"/>
    <col min="169" max="169" width="11" customWidth="1"/>
    <col min="170" max="170" width="16.85546875" bestFit="1" customWidth="1"/>
  </cols>
  <sheetData>
    <row r="1" spans="1:170" ht="20.25" customHeight="1" x14ac:dyDescent="0.25">
      <c r="A1" s="1" t="s">
        <v>21</v>
      </c>
      <c r="B1" s="2"/>
      <c r="C1" s="3"/>
      <c r="D1" s="4" t="s">
        <v>22</v>
      </c>
      <c r="E1" s="59" t="s">
        <v>11</v>
      </c>
      <c r="F1" s="59"/>
      <c r="G1" s="59"/>
      <c r="H1" s="59"/>
      <c r="I1" s="59"/>
      <c r="J1" s="59"/>
      <c r="K1" s="59"/>
      <c r="L1" s="59"/>
      <c r="M1" s="59"/>
      <c r="N1" s="59"/>
      <c r="O1" s="3" t="s">
        <v>23</v>
      </c>
      <c r="P1" s="5" t="s">
        <v>24</v>
      </c>
      <c r="R1" s="4" t="s">
        <v>22</v>
      </c>
      <c r="S1" s="59" t="s">
        <v>12</v>
      </c>
      <c r="T1" s="59"/>
      <c r="U1" s="59"/>
      <c r="V1" s="59"/>
      <c r="W1" s="59"/>
      <c r="X1" s="59"/>
      <c r="Y1" s="59"/>
      <c r="Z1" s="59"/>
      <c r="AA1" s="59"/>
      <c r="AB1" s="59"/>
      <c r="AC1" s="3" t="s">
        <v>23</v>
      </c>
      <c r="AD1" s="5" t="s">
        <v>24</v>
      </c>
      <c r="AF1" s="4" t="s">
        <v>22</v>
      </c>
      <c r="AG1" s="59" t="s">
        <v>13</v>
      </c>
      <c r="AH1" s="59"/>
      <c r="AI1" s="59"/>
      <c r="AJ1" s="59"/>
      <c r="AK1" s="59"/>
      <c r="AL1" s="59"/>
      <c r="AM1" s="59"/>
      <c r="AN1" s="59"/>
      <c r="AO1" s="59"/>
      <c r="AP1" s="59"/>
      <c r="AQ1" s="3" t="s">
        <v>23</v>
      </c>
      <c r="AR1" s="5" t="s">
        <v>24</v>
      </c>
      <c r="AT1" s="4" t="s">
        <v>22</v>
      </c>
      <c r="AU1" s="59" t="s">
        <v>2</v>
      </c>
      <c r="AV1" s="59"/>
      <c r="AW1" s="59"/>
      <c r="AX1" s="59"/>
      <c r="AY1" s="59"/>
      <c r="AZ1" s="59"/>
      <c r="BA1" s="59"/>
      <c r="BB1" s="59"/>
      <c r="BC1" s="59"/>
      <c r="BD1" s="59"/>
      <c r="BE1" s="3" t="s">
        <v>23</v>
      </c>
      <c r="BF1" s="5" t="s">
        <v>24</v>
      </c>
      <c r="BH1" s="4" t="s">
        <v>22</v>
      </c>
      <c r="BI1" s="59" t="s">
        <v>3</v>
      </c>
      <c r="BJ1" s="59"/>
      <c r="BK1" s="59"/>
      <c r="BL1" s="59"/>
      <c r="BM1" s="59"/>
      <c r="BN1" s="59"/>
      <c r="BO1" s="59"/>
      <c r="BP1" s="59"/>
      <c r="BQ1" s="59"/>
      <c r="BR1" s="59"/>
      <c r="BS1" s="3" t="s">
        <v>23</v>
      </c>
      <c r="BT1" s="5" t="s">
        <v>24</v>
      </c>
      <c r="BV1" s="4" t="s">
        <v>22</v>
      </c>
      <c r="BW1" s="59" t="s">
        <v>4</v>
      </c>
      <c r="BX1" s="59"/>
      <c r="BY1" s="59"/>
      <c r="BZ1" s="59"/>
      <c r="CA1" s="59"/>
      <c r="CB1" s="59"/>
      <c r="CC1" s="59"/>
      <c r="CD1" s="59"/>
      <c r="CE1" s="59"/>
      <c r="CF1" s="59"/>
      <c r="CG1" s="3" t="s">
        <v>23</v>
      </c>
      <c r="CH1" s="5" t="s">
        <v>24</v>
      </c>
      <c r="CJ1" s="4" t="s">
        <v>22</v>
      </c>
      <c r="CK1" s="59" t="s">
        <v>5</v>
      </c>
      <c r="CL1" s="59"/>
      <c r="CM1" s="59"/>
      <c r="CN1" s="59"/>
      <c r="CO1" s="59"/>
      <c r="CP1" s="59"/>
      <c r="CQ1" s="59"/>
      <c r="CR1" s="59"/>
      <c r="CS1" s="59"/>
      <c r="CT1" s="59"/>
      <c r="CU1" s="3" t="s">
        <v>23</v>
      </c>
      <c r="CV1" s="5" t="s">
        <v>24</v>
      </c>
      <c r="CX1" s="4" t="s">
        <v>22</v>
      </c>
      <c r="CY1" s="59" t="s">
        <v>6</v>
      </c>
      <c r="CZ1" s="59"/>
      <c r="DA1" s="59"/>
      <c r="DB1" s="59"/>
      <c r="DC1" s="59"/>
      <c r="DD1" s="59"/>
      <c r="DE1" s="59"/>
      <c r="DF1" s="59"/>
      <c r="DG1" s="59"/>
      <c r="DH1" s="59"/>
      <c r="DI1" s="3" t="s">
        <v>23</v>
      </c>
      <c r="DJ1" s="5" t="s">
        <v>24</v>
      </c>
      <c r="DL1" s="4" t="s">
        <v>22</v>
      </c>
      <c r="DM1" s="59" t="s">
        <v>7</v>
      </c>
      <c r="DN1" s="59"/>
      <c r="DO1" s="59"/>
      <c r="DP1" s="59"/>
      <c r="DQ1" s="59"/>
      <c r="DR1" s="59"/>
      <c r="DS1" s="59"/>
      <c r="DT1" s="59"/>
      <c r="DU1" s="59"/>
      <c r="DV1" s="59"/>
      <c r="DW1" s="3" t="s">
        <v>23</v>
      </c>
      <c r="DX1" s="5" t="s">
        <v>24</v>
      </c>
      <c r="DZ1" s="4" t="s">
        <v>22</v>
      </c>
      <c r="EA1" s="59" t="s">
        <v>8</v>
      </c>
      <c r="EB1" s="59"/>
      <c r="EC1" s="59"/>
      <c r="ED1" s="59"/>
      <c r="EE1" s="59"/>
      <c r="EF1" s="59"/>
      <c r="EG1" s="59"/>
      <c r="EH1" s="59"/>
      <c r="EI1" s="59"/>
      <c r="EJ1" s="59"/>
      <c r="EK1" s="3" t="s">
        <v>23</v>
      </c>
      <c r="EL1" s="5" t="s">
        <v>24</v>
      </c>
      <c r="EN1" s="4" t="s">
        <v>22</v>
      </c>
      <c r="EO1" s="59" t="s">
        <v>9</v>
      </c>
      <c r="EP1" s="59"/>
      <c r="EQ1" s="59"/>
      <c r="ER1" s="59"/>
      <c r="ES1" s="59"/>
      <c r="ET1" s="59"/>
      <c r="EU1" s="59"/>
      <c r="EV1" s="59"/>
      <c r="EW1" s="59"/>
      <c r="EX1" s="59"/>
      <c r="EY1" s="3" t="s">
        <v>23</v>
      </c>
      <c r="EZ1" s="5" t="s">
        <v>24</v>
      </c>
      <c r="FB1" s="4" t="s">
        <v>22</v>
      </c>
      <c r="FC1" s="59" t="s">
        <v>10</v>
      </c>
      <c r="FD1" s="59"/>
      <c r="FE1" s="59"/>
      <c r="FF1" s="59"/>
      <c r="FG1" s="59"/>
      <c r="FH1" s="59"/>
      <c r="FI1" s="59"/>
      <c r="FJ1" s="59"/>
      <c r="FK1" s="59"/>
      <c r="FL1" s="59"/>
      <c r="FM1" s="3" t="s">
        <v>23</v>
      </c>
      <c r="FN1" s="5" t="s">
        <v>24</v>
      </c>
    </row>
    <row r="2" spans="1:170" ht="15.75" customHeight="1" x14ac:dyDescent="0.25">
      <c r="A2" s="6" t="s">
        <v>20</v>
      </c>
      <c r="B2" s="7"/>
      <c r="C2" s="3"/>
      <c r="D2" s="8">
        <v>2061000</v>
      </c>
      <c r="E2" s="58" t="s">
        <v>18</v>
      </c>
      <c r="F2" s="58"/>
      <c r="G2" s="56" t="s">
        <v>14</v>
      </c>
      <c r="H2" s="56"/>
      <c r="I2" s="56"/>
      <c r="J2" s="56"/>
      <c r="K2" s="57" t="s">
        <v>15</v>
      </c>
      <c r="L2" s="57"/>
      <c r="M2" s="57"/>
      <c r="N2" s="57"/>
      <c r="O2" s="9">
        <f>45000+G17-I17</f>
        <v>40010</v>
      </c>
      <c r="P2" s="10" t="s">
        <v>14</v>
      </c>
      <c r="R2" s="8">
        <f>O6</f>
        <v>2111900</v>
      </c>
      <c r="S2" s="58" t="s">
        <v>18</v>
      </c>
      <c r="T2" s="58"/>
      <c r="U2" s="56" t="s">
        <v>14</v>
      </c>
      <c r="V2" s="56"/>
      <c r="W2" s="56"/>
      <c r="X2" s="56"/>
      <c r="Y2" s="57" t="s">
        <v>15</v>
      </c>
      <c r="Z2" s="57"/>
      <c r="AA2" s="57"/>
      <c r="AB2" s="57"/>
      <c r="AC2" s="9">
        <f>O2+U17-W17</f>
        <v>36920</v>
      </c>
      <c r="AD2" s="10" t="s">
        <v>14</v>
      </c>
      <c r="AF2" s="8">
        <f>AC6</f>
        <v>2162210</v>
      </c>
      <c r="AG2" s="58" t="s">
        <v>18</v>
      </c>
      <c r="AH2" s="58"/>
      <c r="AI2" s="56" t="s">
        <v>14</v>
      </c>
      <c r="AJ2" s="56"/>
      <c r="AK2" s="56"/>
      <c r="AL2" s="56"/>
      <c r="AM2" s="57" t="s">
        <v>15</v>
      </c>
      <c r="AN2" s="57"/>
      <c r="AO2" s="57"/>
      <c r="AP2" s="57"/>
      <c r="AQ2" s="9">
        <f>AC2+AI17-AK17</f>
        <v>38030</v>
      </c>
      <c r="AR2" s="10" t="s">
        <v>14</v>
      </c>
      <c r="AT2" s="8">
        <f>AQ6</f>
        <v>2215620</v>
      </c>
      <c r="AU2" s="58" t="s">
        <v>18</v>
      </c>
      <c r="AV2" s="58"/>
      <c r="AW2" s="56" t="s">
        <v>14</v>
      </c>
      <c r="AX2" s="56"/>
      <c r="AY2" s="56"/>
      <c r="AZ2" s="56"/>
      <c r="BA2" s="57" t="s">
        <v>15</v>
      </c>
      <c r="BB2" s="57"/>
      <c r="BC2" s="57"/>
      <c r="BD2" s="57"/>
      <c r="BE2" s="9">
        <f>AQ2+AW17-AY17</f>
        <v>34940</v>
      </c>
      <c r="BF2" s="10" t="s">
        <v>14</v>
      </c>
      <c r="BH2" s="8">
        <f>BE6</f>
        <v>2261630</v>
      </c>
      <c r="BI2" s="58" t="s">
        <v>18</v>
      </c>
      <c r="BJ2" s="58"/>
      <c r="BK2" s="56" t="s">
        <v>14</v>
      </c>
      <c r="BL2" s="56"/>
      <c r="BM2" s="56"/>
      <c r="BN2" s="56"/>
      <c r="BO2" s="57" t="s">
        <v>15</v>
      </c>
      <c r="BP2" s="57"/>
      <c r="BQ2" s="57"/>
      <c r="BR2" s="57"/>
      <c r="BS2" s="9">
        <f>BE2+BK17-BM17</f>
        <v>51950</v>
      </c>
      <c r="BT2" s="10" t="s">
        <v>14</v>
      </c>
      <c r="BV2" s="8">
        <f>BS6</f>
        <v>2318540</v>
      </c>
      <c r="BW2" s="58" t="s">
        <v>18</v>
      </c>
      <c r="BX2" s="58"/>
      <c r="BY2" s="56" t="s">
        <v>14</v>
      </c>
      <c r="BZ2" s="56"/>
      <c r="CA2" s="56"/>
      <c r="CB2" s="56"/>
      <c r="CC2" s="57" t="s">
        <v>15</v>
      </c>
      <c r="CD2" s="57"/>
      <c r="CE2" s="57"/>
      <c r="CF2" s="57"/>
      <c r="CG2" s="9">
        <f>BS2+BY17-CA17</f>
        <v>48460</v>
      </c>
      <c r="CH2" s="10" t="s">
        <v>14</v>
      </c>
      <c r="CJ2" s="8">
        <f>CG6</f>
        <v>2483750</v>
      </c>
      <c r="CK2" s="58" t="s">
        <v>18</v>
      </c>
      <c r="CL2" s="58"/>
      <c r="CM2" s="56" t="s">
        <v>14</v>
      </c>
      <c r="CN2" s="56"/>
      <c r="CO2" s="56"/>
      <c r="CP2" s="56"/>
      <c r="CQ2" s="57" t="s">
        <v>15</v>
      </c>
      <c r="CR2" s="57"/>
      <c r="CS2" s="57"/>
      <c r="CT2" s="57"/>
      <c r="CU2" s="9">
        <f>CG2+CM17-CO17</f>
        <v>46660</v>
      </c>
      <c r="CV2" s="10" t="s">
        <v>14</v>
      </c>
      <c r="CX2" s="8">
        <f>CU6</f>
        <v>2464550</v>
      </c>
      <c r="CY2" s="58" t="s">
        <v>18</v>
      </c>
      <c r="CZ2" s="58"/>
      <c r="DA2" s="56" t="s">
        <v>14</v>
      </c>
      <c r="DB2" s="56"/>
      <c r="DC2" s="56"/>
      <c r="DD2" s="56"/>
      <c r="DE2" s="57" t="s">
        <v>15</v>
      </c>
      <c r="DF2" s="57"/>
      <c r="DG2" s="57"/>
      <c r="DH2" s="57"/>
      <c r="DI2" s="9">
        <f>CU2+DA17-DC17</f>
        <v>44860</v>
      </c>
      <c r="DJ2" s="10" t="s">
        <v>14</v>
      </c>
      <c r="DL2" s="8">
        <f>DI6</f>
        <v>2341750</v>
      </c>
      <c r="DM2" s="58" t="s">
        <v>18</v>
      </c>
      <c r="DN2" s="58"/>
      <c r="DO2" s="56" t="s">
        <v>14</v>
      </c>
      <c r="DP2" s="56"/>
      <c r="DQ2" s="56"/>
      <c r="DR2" s="56"/>
      <c r="DS2" s="57" t="s">
        <v>15</v>
      </c>
      <c r="DT2" s="57"/>
      <c r="DU2" s="57"/>
      <c r="DV2" s="57"/>
      <c r="DW2" s="9">
        <f>DI2+DO17-DQ17</f>
        <v>26870</v>
      </c>
      <c r="DX2" s="10" t="s">
        <v>14</v>
      </c>
      <c r="DZ2" s="8">
        <f>DW6</f>
        <v>2358860</v>
      </c>
      <c r="EA2" s="58" t="s">
        <v>18</v>
      </c>
      <c r="EB2" s="58"/>
      <c r="EC2" s="56" t="s">
        <v>14</v>
      </c>
      <c r="ED2" s="56"/>
      <c r="EE2" s="56"/>
      <c r="EF2" s="56"/>
      <c r="EG2" s="57" t="s">
        <v>15</v>
      </c>
      <c r="EH2" s="57"/>
      <c r="EI2" s="57"/>
      <c r="EJ2" s="57"/>
      <c r="EK2" s="9">
        <f>DW2+EC17-EE17</f>
        <v>24180</v>
      </c>
      <c r="EL2" s="10" t="s">
        <v>14</v>
      </c>
      <c r="EN2" s="8">
        <f>EK6</f>
        <v>2283470</v>
      </c>
      <c r="EO2" s="58" t="s">
        <v>18</v>
      </c>
      <c r="EP2" s="58"/>
      <c r="EQ2" s="56" t="s">
        <v>14</v>
      </c>
      <c r="ER2" s="56"/>
      <c r="ES2" s="56"/>
      <c r="ET2" s="56"/>
      <c r="EU2" s="57" t="s">
        <v>15</v>
      </c>
      <c r="EV2" s="57"/>
      <c r="EW2" s="57"/>
      <c r="EX2" s="57"/>
      <c r="EY2" s="9">
        <f>EK2+EQ17-ES17</f>
        <v>20890</v>
      </c>
      <c r="EZ2" s="10" t="s">
        <v>14</v>
      </c>
      <c r="FB2" s="8">
        <f>EY6</f>
        <v>2338980</v>
      </c>
      <c r="FC2" s="58" t="s">
        <v>18</v>
      </c>
      <c r="FD2" s="58"/>
      <c r="FE2" s="56" t="s">
        <v>14</v>
      </c>
      <c r="FF2" s="56"/>
      <c r="FG2" s="56"/>
      <c r="FH2" s="56"/>
      <c r="FI2" s="57" t="s">
        <v>15</v>
      </c>
      <c r="FJ2" s="57"/>
      <c r="FK2" s="57"/>
      <c r="FL2" s="57"/>
      <c r="FM2" s="9">
        <f>EY2+FE17-FG17</f>
        <v>27000</v>
      </c>
      <c r="FN2" s="10" t="s">
        <v>14</v>
      </c>
    </row>
    <row r="3" spans="1:170" ht="15.75" customHeight="1" x14ac:dyDescent="0.25">
      <c r="A3" s="11" t="s">
        <v>25</v>
      </c>
      <c r="C3" s="3"/>
      <c r="D3" s="12"/>
      <c r="E3" s="3" t="s">
        <v>26</v>
      </c>
      <c r="F3" s="13" t="s">
        <v>27</v>
      </c>
      <c r="G3" s="14" t="s">
        <v>0</v>
      </c>
      <c r="H3" s="3" t="s">
        <v>27</v>
      </c>
      <c r="I3" s="3" t="s">
        <v>1</v>
      </c>
      <c r="J3" s="15" t="s">
        <v>27</v>
      </c>
      <c r="K3" s="16" t="s">
        <v>0</v>
      </c>
      <c r="L3" s="17" t="s">
        <v>27</v>
      </c>
      <c r="M3" s="17" t="s">
        <v>1</v>
      </c>
      <c r="N3" s="3" t="s">
        <v>27</v>
      </c>
      <c r="O3" s="18">
        <f>E17</f>
        <v>0</v>
      </c>
      <c r="P3" s="19" t="s">
        <v>16</v>
      </c>
      <c r="R3" s="12"/>
      <c r="S3" s="3" t="s">
        <v>26</v>
      </c>
      <c r="T3" s="13" t="s">
        <v>27</v>
      </c>
      <c r="U3" s="14" t="s">
        <v>0</v>
      </c>
      <c r="V3" s="3" t="s">
        <v>27</v>
      </c>
      <c r="W3" s="3" t="s">
        <v>1</v>
      </c>
      <c r="X3" s="15" t="s">
        <v>27</v>
      </c>
      <c r="Y3" s="16" t="s">
        <v>0</v>
      </c>
      <c r="Z3" s="17" t="s">
        <v>27</v>
      </c>
      <c r="AA3" s="17" t="s">
        <v>1</v>
      </c>
      <c r="AB3" s="3" t="s">
        <v>27</v>
      </c>
      <c r="AC3" s="18">
        <f>S17</f>
        <v>0</v>
      </c>
      <c r="AD3" s="19" t="s">
        <v>16</v>
      </c>
      <c r="AF3" s="12"/>
      <c r="AG3" s="3" t="s">
        <v>26</v>
      </c>
      <c r="AH3" s="13" t="s">
        <v>27</v>
      </c>
      <c r="AI3" s="14" t="s">
        <v>0</v>
      </c>
      <c r="AJ3" s="3" t="s">
        <v>27</v>
      </c>
      <c r="AK3" s="3" t="s">
        <v>1</v>
      </c>
      <c r="AL3" s="15" t="s">
        <v>27</v>
      </c>
      <c r="AM3" s="16" t="s">
        <v>0</v>
      </c>
      <c r="AN3" s="17" t="s">
        <v>27</v>
      </c>
      <c r="AO3" s="17" t="s">
        <v>1</v>
      </c>
      <c r="AP3" s="3" t="s">
        <v>27</v>
      </c>
      <c r="AQ3" s="18">
        <f>AG17</f>
        <v>0</v>
      </c>
      <c r="AR3" s="19" t="s">
        <v>16</v>
      </c>
      <c r="AT3" s="12"/>
      <c r="AU3" s="3" t="s">
        <v>26</v>
      </c>
      <c r="AV3" s="13" t="s">
        <v>27</v>
      </c>
      <c r="AW3" s="14" t="s">
        <v>0</v>
      </c>
      <c r="AX3" s="3" t="s">
        <v>27</v>
      </c>
      <c r="AY3" s="3" t="s">
        <v>1</v>
      </c>
      <c r="AZ3" s="15" t="s">
        <v>27</v>
      </c>
      <c r="BA3" s="16" t="s">
        <v>0</v>
      </c>
      <c r="BB3" s="17" t="s">
        <v>27</v>
      </c>
      <c r="BC3" s="17" t="s">
        <v>1</v>
      </c>
      <c r="BD3" s="3" t="s">
        <v>27</v>
      </c>
      <c r="BE3" s="18">
        <f>AU17</f>
        <v>0</v>
      </c>
      <c r="BF3" s="19" t="s">
        <v>16</v>
      </c>
      <c r="BH3" s="12"/>
      <c r="BI3" s="3" t="s">
        <v>26</v>
      </c>
      <c r="BJ3" s="13" t="s">
        <v>27</v>
      </c>
      <c r="BK3" s="14" t="s">
        <v>0</v>
      </c>
      <c r="BL3" s="3" t="s">
        <v>27</v>
      </c>
      <c r="BM3" s="3" t="s">
        <v>1</v>
      </c>
      <c r="BN3" s="15" t="s">
        <v>27</v>
      </c>
      <c r="BO3" s="16" t="s">
        <v>0</v>
      </c>
      <c r="BP3" s="17" t="s">
        <v>27</v>
      </c>
      <c r="BQ3" s="17" t="s">
        <v>1</v>
      </c>
      <c r="BR3" s="3" t="s">
        <v>27</v>
      </c>
      <c r="BS3" s="18">
        <f>BI17</f>
        <v>0</v>
      </c>
      <c r="BT3" s="19" t="s">
        <v>16</v>
      </c>
      <c r="BV3" s="12"/>
      <c r="BW3" s="3" t="s">
        <v>26</v>
      </c>
      <c r="BX3" s="13" t="s">
        <v>27</v>
      </c>
      <c r="BY3" s="14" t="s">
        <v>0</v>
      </c>
      <c r="BZ3" s="3" t="s">
        <v>27</v>
      </c>
      <c r="CA3" s="3" t="s">
        <v>1</v>
      </c>
      <c r="CB3" s="15" t="s">
        <v>27</v>
      </c>
      <c r="CC3" s="16" t="s">
        <v>0</v>
      </c>
      <c r="CD3" s="17" t="s">
        <v>27</v>
      </c>
      <c r="CE3" s="17" t="s">
        <v>1</v>
      </c>
      <c r="CF3" s="3" t="s">
        <v>27</v>
      </c>
      <c r="CG3" s="18">
        <f>BW17</f>
        <v>0</v>
      </c>
      <c r="CH3" s="19" t="s">
        <v>16</v>
      </c>
      <c r="CJ3" s="12"/>
      <c r="CK3" s="3" t="s">
        <v>26</v>
      </c>
      <c r="CL3" s="13" t="s">
        <v>27</v>
      </c>
      <c r="CM3" s="14" t="s">
        <v>0</v>
      </c>
      <c r="CN3" s="3" t="s">
        <v>27</v>
      </c>
      <c r="CO3" s="3" t="s">
        <v>1</v>
      </c>
      <c r="CP3" s="15" t="s">
        <v>27</v>
      </c>
      <c r="CQ3" s="16" t="s">
        <v>0</v>
      </c>
      <c r="CR3" s="17" t="s">
        <v>27</v>
      </c>
      <c r="CS3" s="17" t="s">
        <v>1</v>
      </c>
      <c r="CT3" s="3" t="s">
        <v>27</v>
      </c>
      <c r="CU3" s="18">
        <f>CK17</f>
        <v>0</v>
      </c>
      <c r="CV3" s="19" t="s">
        <v>16</v>
      </c>
      <c r="CX3" s="12"/>
      <c r="CY3" s="3" t="s">
        <v>26</v>
      </c>
      <c r="CZ3" s="13" t="s">
        <v>27</v>
      </c>
      <c r="DA3" s="14" t="s">
        <v>0</v>
      </c>
      <c r="DB3" s="3" t="s">
        <v>27</v>
      </c>
      <c r="DC3" s="3" t="s">
        <v>1</v>
      </c>
      <c r="DD3" s="15" t="s">
        <v>27</v>
      </c>
      <c r="DE3" s="16" t="s">
        <v>0</v>
      </c>
      <c r="DF3" s="17" t="s">
        <v>27</v>
      </c>
      <c r="DG3" s="17" t="s">
        <v>1</v>
      </c>
      <c r="DH3" s="3" t="s">
        <v>27</v>
      </c>
      <c r="DI3" s="18">
        <f>CY17</f>
        <v>0</v>
      </c>
      <c r="DJ3" s="19" t="s">
        <v>16</v>
      </c>
      <c r="DL3" s="12"/>
      <c r="DM3" s="3" t="s">
        <v>26</v>
      </c>
      <c r="DN3" s="13" t="s">
        <v>27</v>
      </c>
      <c r="DO3" s="14" t="s">
        <v>0</v>
      </c>
      <c r="DP3" s="3" t="s">
        <v>27</v>
      </c>
      <c r="DQ3" s="3" t="s">
        <v>1</v>
      </c>
      <c r="DR3" s="15" t="s">
        <v>27</v>
      </c>
      <c r="DS3" s="16" t="s">
        <v>0</v>
      </c>
      <c r="DT3" s="17" t="s">
        <v>27</v>
      </c>
      <c r="DU3" s="17" t="s">
        <v>1</v>
      </c>
      <c r="DV3" s="3" t="s">
        <v>27</v>
      </c>
      <c r="DW3" s="18">
        <f>DM17</f>
        <v>0</v>
      </c>
      <c r="DX3" s="19" t="s">
        <v>16</v>
      </c>
      <c r="DZ3" s="12"/>
      <c r="EA3" s="3" t="s">
        <v>26</v>
      </c>
      <c r="EB3" s="13" t="s">
        <v>27</v>
      </c>
      <c r="EC3" s="14" t="s">
        <v>0</v>
      </c>
      <c r="ED3" s="3" t="s">
        <v>27</v>
      </c>
      <c r="EE3" s="3" t="s">
        <v>1</v>
      </c>
      <c r="EF3" s="15" t="s">
        <v>27</v>
      </c>
      <c r="EG3" s="16" t="s">
        <v>0</v>
      </c>
      <c r="EH3" s="17" t="s">
        <v>27</v>
      </c>
      <c r="EI3" s="17" t="s">
        <v>1</v>
      </c>
      <c r="EJ3" s="3" t="s">
        <v>27</v>
      </c>
      <c r="EK3" s="18">
        <f>EA17</f>
        <v>0</v>
      </c>
      <c r="EL3" s="19" t="s">
        <v>16</v>
      </c>
      <c r="EN3" s="12"/>
      <c r="EO3" s="3" t="s">
        <v>26</v>
      </c>
      <c r="EP3" s="13" t="s">
        <v>27</v>
      </c>
      <c r="EQ3" s="14" t="s">
        <v>0</v>
      </c>
      <c r="ER3" s="3" t="s">
        <v>27</v>
      </c>
      <c r="ES3" s="3" t="s">
        <v>1</v>
      </c>
      <c r="ET3" s="15" t="s">
        <v>27</v>
      </c>
      <c r="EU3" s="16" t="s">
        <v>0</v>
      </c>
      <c r="EV3" s="17" t="s">
        <v>27</v>
      </c>
      <c r="EW3" s="17" t="s">
        <v>1</v>
      </c>
      <c r="EX3" s="3" t="s">
        <v>27</v>
      </c>
      <c r="EY3" s="18">
        <f>EO17</f>
        <v>0</v>
      </c>
      <c r="EZ3" s="19" t="s">
        <v>16</v>
      </c>
      <c r="FB3" s="12"/>
      <c r="FC3" s="3" t="s">
        <v>26</v>
      </c>
      <c r="FD3" s="13" t="s">
        <v>27</v>
      </c>
      <c r="FE3" s="14" t="s">
        <v>0</v>
      </c>
      <c r="FF3" s="3" t="s">
        <v>27</v>
      </c>
      <c r="FG3" s="3" t="s">
        <v>1</v>
      </c>
      <c r="FH3" s="15" t="s">
        <v>27</v>
      </c>
      <c r="FI3" s="16" t="s">
        <v>0</v>
      </c>
      <c r="FJ3" s="17" t="s">
        <v>27</v>
      </c>
      <c r="FK3" s="17" t="s">
        <v>1</v>
      </c>
      <c r="FL3" s="3" t="s">
        <v>27</v>
      </c>
      <c r="FM3" s="18">
        <f>FC17</f>
        <v>0</v>
      </c>
      <c r="FN3" s="19" t="s">
        <v>16</v>
      </c>
    </row>
    <row r="4" spans="1:170" x14ac:dyDescent="0.25">
      <c r="A4" s="20" t="s">
        <v>28</v>
      </c>
      <c r="C4" s="3"/>
      <c r="D4" s="12"/>
      <c r="E4" s="21"/>
      <c r="F4" s="21"/>
      <c r="G4" s="22">
        <f>6500</f>
        <v>6500</v>
      </c>
      <c r="H4" s="23" t="s">
        <v>29</v>
      </c>
      <c r="I4" s="23">
        <v>7600</v>
      </c>
      <c r="J4" s="24" t="s">
        <v>30</v>
      </c>
      <c r="K4" s="22">
        <v>59000</v>
      </c>
      <c r="L4" s="23" t="s">
        <v>31</v>
      </c>
      <c r="M4" s="23">
        <f>6760</f>
        <v>6760</v>
      </c>
      <c r="N4" s="25" t="s">
        <v>30</v>
      </c>
      <c r="O4" s="18">
        <f>156000+K17-M17</f>
        <v>101890</v>
      </c>
      <c r="P4" s="19" t="s">
        <v>15</v>
      </c>
      <c r="R4" s="12"/>
      <c r="S4" s="21"/>
      <c r="T4" s="21"/>
      <c r="U4" s="22">
        <v>7000</v>
      </c>
      <c r="V4" s="23" t="s">
        <v>29</v>
      </c>
      <c r="W4" s="23">
        <v>8200</v>
      </c>
      <c r="X4" s="24" t="s">
        <v>30</v>
      </c>
      <c r="Y4" s="22">
        <v>59000</v>
      </c>
      <c r="Z4" s="23" t="s">
        <v>31</v>
      </c>
      <c r="AA4" s="23">
        <v>7100</v>
      </c>
      <c r="AB4" s="25" t="s">
        <v>30</v>
      </c>
      <c r="AC4" s="18">
        <f>O4+Y17-AA17</f>
        <v>155290</v>
      </c>
      <c r="AD4" s="19" t="s">
        <v>15</v>
      </c>
      <c r="AF4" s="12"/>
      <c r="AG4" s="21"/>
      <c r="AH4" s="21"/>
      <c r="AI4" s="22">
        <v>7000</v>
      </c>
      <c r="AJ4" s="23" t="s">
        <v>29</v>
      </c>
      <c r="AK4" s="23">
        <v>4000</v>
      </c>
      <c r="AL4" s="24" t="s">
        <v>30</v>
      </c>
      <c r="AM4" s="22">
        <v>59000</v>
      </c>
      <c r="AN4" s="23" t="s">
        <v>31</v>
      </c>
      <c r="AO4" s="23">
        <v>12000</v>
      </c>
      <c r="AP4" s="25" t="s">
        <v>30</v>
      </c>
      <c r="AQ4" s="18">
        <f>AC4+AM17-AO17</f>
        <v>207590</v>
      </c>
      <c r="AR4" s="19" t="s">
        <v>15</v>
      </c>
      <c r="AT4" s="12"/>
      <c r="AU4" s="21"/>
      <c r="AV4" s="21"/>
      <c r="AW4" s="22">
        <v>7200</v>
      </c>
      <c r="AX4" s="23" t="s">
        <v>29</v>
      </c>
      <c r="AY4" s="23">
        <v>8400</v>
      </c>
      <c r="AZ4" s="24" t="s">
        <v>30</v>
      </c>
      <c r="BA4" s="22">
        <v>59000</v>
      </c>
      <c r="BB4" s="23" t="s">
        <v>31</v>
      </c>
      <c r="BC4" s="23">
        <v>9000</v>
      </c>
      <c r="BD4" s="25" t="s">
        <v>30</v>
      </c>
      <c r="BE4" s="18">
        <f>AQ4+BA17-BC17</f>
        <v>256690</v>
      </c>
      <c r="BF4" s="19" t="s">
        <v>15</v>
      </c>
      <c r="BH4" s="12"/>
      <c r="BI4" s="21"/>
      <c r="BJ4" s="21"/>
      <c r="BK4" s="22">
        <v>6800</v>
      </c>
      <c r="BL4" s="23" t="s">
        <v>29</v>
      </c>
      <c r="BM4" s="23">
        <v>7900</v>
      </c>
      <c r="BN4" s="24" t="s">
        <v>30</v>
      </c>
      <c r="BO4" s="22">
        <v>59000</v>
      </c>
      <c r="BP4" s="23" t="s">
        <v>31</v>
      </c>
      <c r="BQ4" s="23">
        <v>6700</v>
      </c>
      <c r="BR4" s="25" t="s">
        <v>30</v>
      </c>
      <c r="BS4" s="18">
        <f>BE4+BO17-BQ17</f>
        <v>296590</v>
      </c>
      <c r="BT4" s="19" t="s">
        <v>15</v>
      </c>
      <c r="BV4" s="12"/>
      <c r="BW4" s="21"/>
      <c r="BX4" s="21"/>
      <c r="BY4" s="22">
        <v>7000</v>
      </c>
      <c r="BZ4" s="23" t="s">
        <v>29</v>
      </c>
      <c r="CA4" s="23">
        <v>8600</v>
      </c>
      <c r="CB4" s="24" t="s">
        <v>30</v>
      </c>
      <c r="CC4" s="22">
        <v>180000</v>
      </c>
      <c r="CD4" s="23" t="s">
        <v>31</v>
      </c>
      <c r="CE4" s="23">
        <v>7500</v>
      </c>
      <c r="CF4" s="25" t="s">
        <v>30</v>
      </c>
      <c r="CG4" s="18">
        <f>BS4+CC17-CE17</f>
        <v>315290</v>
      </c>
      <c r="CH4" s="19" t="s">
        <v>15</v>
      </c>
      <c r="CJ4" s="12"/>
      <c r="CK4" s="21"/>
      <c r="CL4" s="21"/>
      <c r="CM4" s="22">
        <v>7400</v>
      </c>
      <c r="CN4" s="23" t="s">
        <v>29</v>
      </c>
      <c r="CO4" s="23">
        <v>9200</v>
      </c>
      <c r="CP4" s="24" t="s">
        <v>30</v>
      </c>
      <c r="CQ4" s="22">
        <v>22500</v>
      </c>
      <c r="CR4" s="23" t="s">
        <v>32</v>
      </c>
      <c r="CS4" s="23">
        <v>18900</v>
      </c>
      <c r="CT4" s="25" t="s">
        <v>30</v>
      </c>
      <c r="CU4" s="18">
        <f>CG4+CQ17-CS17</f>
        <v>297890</v>
      </c>
      <c r="CV4" s="19" t="s">
        <v>15</v>
      </c>
      <c r="CX4" s="12"/>
      <c r="CY4" s="21"/>
      <c r="CZ4" s="21"/>
      <c r="DA4" s="22">
        <v>7000</v>
      </c>
      <c r="DB4" s="23" t="s">
        <v>29</v>
      </c>
      <c r="DC4" s="23">
        <v>8800</v>
      </c>
      <c r="DD4" s="24" t="s">
        <v>30</v>
      </c>
      <c r="DE4" s="22">
        <v>23000</v>
      </c>
      <c r="DF4" s="23" t="s">
        <v>32</v>
      </c>
      <c r="DG4" s="23">
        <v>8200</v>
      </c>
      <c r="DH4" s="25" t="s">
        <v>30</v>
      </c>
      <c r="DI4" s="18">
        <f>CU4+DE17-DG17</f>
        <v>176890</v>
      </c>
      <c r="DJ4" s="19" t="s">
        <v>15</v>
      </c>
      <c r="DL4" s="12"/>
      <c r="DM4" s="21"/>
      <c r="DN4" s="21"/>
      <c r="DO4" s="22">
        <v>7000</v>
      </c>
      <c r="DP4" s="23" t="s">
        <v>29</v>
      </c>
      <c r="DQ4" s="23">
        <v>8100</v>
      </c>
      <c r="DR4" s="24" t="s">
        <v>30</v>
      </c>
      <c r="DS4" s="22">
        <v>59000</v>
      </c>
      <c r="DT4" s="23" t="s">
        <v>31</v>
      </c>
      <c r="DU4" s="23">
        <v>7200</v>
      </c>
      <c r="DV4" s="25" t="s">
        <v>30</v>
      </c>
      <c r="DW4" s="18">
        <f>DI4+DS17-DU17</f>
        <v>211990</v>
      </c>
      <c r="DX4" s="19" t="s">
        <v>15</v>
      </c>
      <c r="DZ4" s="12"/>
      <c r="EA4" s="21"/>
      <c r="EB4" s="21"/>
      <c r="EC4" s="22">
        <v>7100</v>
      </c>
      <c r="ED4" s="23" t="s">
        <v>29</v>
      </c>
      <c r="EE4" s="23">
        <v>7900</v>
      </c>
      <c r="EF4" s="24" t="s">
        <v>30</v>
      </c>
      <c r="EG4" s="22">
        <v>59000</v>
      </c>
      <c r="EH4" s="23" t="s">
        <v>31</v>
      </c>
      <c r="EI4" s="23">
        <v>6800</v>
      </c>
      <c r="EJ4" s="25" t="s">
        <v>30</v>
      </c>
      <c r="EK4" s="18">
        <f>DW4+EG17-EI17</f>
        <v>139290</v>
      </c>
      <c r="EL4" s="19" t="s">
        <v>15</v>
      </c>
      <c r="EN4" s="12"/>
      <c r="EO4" s="21"/>
      <c r="EP4" s="21"/>
      <c r="EQ4" s="22">
        <v>6900</v>
      </c>
      <c r="ER4" s="23" t="s">
        <v>29</v>
      </c>
      <c r="ES4" s="23">
        <v>8300</v>
      </c>
      <c r="ET4" s="24" t="s">
        <v>30</v>
      </c>
      <c r="EU4" s="22">
        <v>59000</v>
      </c>
      <c r="EV4" s="23" t="s">
        <v>31</v>
      </c>
      <c r="EW4" s="23">
        <v>7400</v>
      </c>
      <c r="EX4" s="25" t="s">
        <v>30</v>
      </c>
      <c r="EY4" s="18">
        <f>EK4+EU17-EW17</f>
        <v>153090</v>
      </c>
      <c r="EZ4" s="19" t="s">
        <v>15</v>
      </c>
      <c r="FB4" s="12"/>
      <c r="FC4" s="21"/>
      <c r="FD4" s="21"/>
      <c r="FE4" s="22">
        <v>7500</v>
      </c>
      <c r="FF4" s="23" t="s">
        <v>29</v>
      </c>
      <c r="FG4" s="23">
        <v>9500</v>
      </c>
      <c r="FH4" s="24" t="s">
        <v>30</v>
      </c>
      <c r="FI4" s="22">
        <v>59000</v>
      </c>
      <c r="FJ4" s="23" t="s">
        <v>31</v>
      </c>
      <c r="FK4" s="23">
        <v>8600</v>
      </c>
      <c r="FL4" s="25" t="s">
        <v>30</v>
      </c>
      <c r="FM4" s="18">
        <f>EY4+FI17-FK17</f>
        <v>182290</v>
      </c>
      <c r="FN4" s="19" t="s">
        <v>15</v>
      </c>
    </row>
    <row r="5" spans="1:170" x14ac:dyDescent="0.25">
      <c r="A5" s="26" t="s">
        <v>33</v>
      </c>
      <c r="C5" s="3"/>
      <c r="D5" s="12"/>
      <c r="E5" s="13"/>
      <c r="F5" s="13"/>
      <c r="G5" s="27"/>
      <c r="H5" s="13"/>
      <c r="I5" s="13">
        <v>1890</v>
      </c>
      <c r="J5" s="28" t="s">
        <v>34</v>
      </c>
      <c r="K5" s="27">
        <v>18150</v>
      </c>
      <c r="L5" s="29" t="s">
        <v>35</v>
      </c>
      <c r="M5" s="13">
        <f>14500</f>
        <v>14500</v>
      </c>
      <c r="N5" s="3" t="s">
        <v>36</v>
      </c>
      <c r="O5" s="18">
        <f>1860000+110000</f>
        <v>1970000</v>
      </c>
      <c r="P5" s="19" t="s">
        <v>37</v>
      </c>
      <c r="R5" s="12"/>
      <c r="S5" s="13"/>
      <c r="T5" s="13"/>
      <c r="U5" s="27"/>
      <c r="V5" s="13"/>
      <c r="W5" s="13">
        <v>1890</v>
      </c>
      <c r="X5" s="28" t="s">
        <v>34</v>
      </c>
      <c r="Y5" s="27">
        <v>17500</v>
      </c>
      <c r="Z5" s="29" t="s">
        <v>32</v>
      </c>
      <c r="AA5" s="13">
        <v>16000</v>
      </c>
      <c r="AB5" s="3" t="s">
        <v>36</v>
      </c>
      <c r="AC5" s="18">
        <f>O5</f>
        <v>1970000</v>
      </c>
      <c r="AD5" s="19" t="s">
        <v>37</v>
      </c>
      <c r="AF5" s="12"/>
      <c r="AG5" s="13"/>
      <c r="AH5" s="13"/>
      <c r="AI5" s="27"/>
      <c r="AJ5" s="13"/>
      <c r="AK5" s="13">
        <v>1890</v>
      </c>
      <c r="AL5" s="28" t="s">
        <v>34</v>
      </c>
      <c r="AM5" s="27">
        <v>18800</v>
      </c>
      <c r="AN5" s="29" t="s">
        <v>32</v>
      </c>
      <c r="AO5" s="13">
        <v>13500</v>
      </c>
      <c r="AP5" s="3" t="s">
        <v>36</v>
      </c>
      <c r="AQ5" s="18">
        <f>AC5</f>
        <v>1970000</v>
      </c>
      <c r="AR5" s="19" t="s">
        <v>37</v>
      </c>
      <c r="AT5" s="12"/>
      <c r="AU5" s="13"/>
      <c r="AV5" s="13"/>
      <c r="AW5" s="27"/>
      <c r="AX5" s="13"/>
      <c r="AY5" s="13">
        <v>1890</v>
      </c>
      <c r="AZ5" s="28" t="s">
        <v>34</v>
      </c>
      <c r="BA5" s="27">
        <v>19200</v>
      </c>
      <c r="BB5" s="29" t="s">
        <v>32</v>
      </c>
      <c r="BC5" s="13">
        <v>14100</v>
      </c>
      <c r="BD5" s="3" t="s">
        <v>36</v>
      </c>
      <c r="BE5" s="18">
        <f>AQ5</f>
        <v>1970000</v>
      </c>
      <c r="BF5" s="19" t="s">
        <v>37</v>
      </c>
      <c r="BH5" s="12"/>
      <c r="BI5" s="13"/>
      <c r="BJ5" s="13"/>
      <c r="BK5" s="55">
        <v>20000</v>
      </c>
      <c r="BL5" s="52" t="s">
        <v>54</v>
      </c>
      <c r="BM5" s="13">
        <v>1890</v>
      </c>
      <c r="BN5" s="28" t="s">
        <v>34</v>
      </c>
      <c r="BO5" s="27">
        <v>20500</v>
      </c>
      <c r="BP5" s="29" t="s">
        <v>32</v>
      </c>
      <c r="BQ5" s="13">
        <v>12900</v>
      </c>
      <c r="BR5" s="3" t="s">
        <v>36</v>
      </c>
      <c r="BS5" s="18">
        <f>BE5</f>
        <v>1970000</v>
      </c>
      <c r="BT5" s="19" t="s">
        <v>37</v>
      </c>
      <c r="BV5" s="12"/>
      <c r="BW5" s="13"/>
      <c r="BX5" s="13"/>
      <c r="BY5" s="27"/>
      <c r="BZ5" s="13"/>
      <c r="CA5" s="13">
        <v>1890</v>
      </c>
      <c r="CB5" s="28" t="s">
        <v>34</v>
      </c>
      <c r="CC5" s="27">
        <v>21000</v>
      </c>
      <c r="CD5" s="29" t="s">
        <v>32</v>
      </c>
      <c r="CE5" s="13">
        <v>13800</v>
      </c>
      <c r="CF5" s="3" t="s">
        <v>36</v>
      </c>
      <c r="CG5" s="18">
        <f>BS5+150000</f>
        <v>2120000</v>
      </c>
      <c r="CH5" s="19" t="s">
        <v>37</v>
      </c>
      <c r="CJ5" s="12"/>
      <c r="CK5" s="13"/>
      <c r="CL5" s="13"/>
      <c r="CM5" s="27"/>
      <c r="CN5" s="13"/>
      <c r="CO5" s="13"/>
      <c r="CP5" s="28"/>
      <c r="CQ5" s="27"/>
      <c r="CR5" s="29"/>
      <c r="CS5" s="13">
        <v>21000</v>
      </c>
      <c r="CT5" s="3" t="s">
        <v>36</v>
      </c>
      <c r="CU5" s="18">
        <f>CG5</f>
        <v>2120000</v>
      </c>
      <c r="CV5" s="19" t="s">
        <v>37</v>
      </c>
      <c r="CX5" s="12"/>
      <c r="CY5" s="13"/>
      <c r="CZ5" s="13"/>
      <c r="DA5" s="27"/>
      <c r="DB5" s="13"/>
      <c r="DC5" s="13"/>
      <c r="DD5" s="28"/>
      <c r="DE5" s="27"/>
      <c r="DF5" s="29"/>
      <c r="DG5" s="13">
        <v>15800</v>
      </c>
      <c r="DH5" s="3" t="s">
        <v>36</v>
      </c>
      <c r="DI5" s="18">
        <f>CU5</f>
        <v>2120000</v>
      </c>
      <c r="DJ5" s="19" t="s">
        <v>37</v>
      </c>
      <c r="DL5" s="12"/>
      <c r="DM5" s="13"/>
      <c r="DN5" s="13"/>
      <c r="DO5" s="27"/>
      <c r="DP5" s="13"/>
      <c r="DQ5" s="13">
        <v>1890</v>
      </c>
      <c r="DR5" s="28" t="s">
        <v>34</v>
      </c>
      <c r="DS5" s="27">
        <v>19500</v>
      </c>
      <c r="DT5" s="29" t="s">
        <v>32</v>
      </c>
      <c r="DU5" s="13">
        <v>13200</v>
      </c>
      <c r="DV5" s="3" t="s">
        <v>36</v>
      </c>
      <c r="DW5" s="18">
        <f>DI5</f>
        <v>2120000</v>
      </c>
      <c r="DX5" s="19" t="s">
        <v>37</v>
      </c>
      <c r="DZ5" s="12"/>
      <c r="EA5" s="13"/>
      <c r="EB5" s="13"/>
      <c r="EC5" s="27"/>
      <c r="ED5" s="13"/>
      <c r="EE5" s="13">
        <v>1890</v>
      </c>
      <c r="EF5" s="28" t="s">
        <v>34</v>
      </c>
      <c r="EG5" s="27">
        <v>18700</v>
      </c>
      <c r="EH5" s="29" t="s">
        <v>32</v>
      </c>
      <c r="EI5" s="13">
        <v>13600</v>
      </c>
      <c r="EJ5" s="3" t="s">
        <v>36</v>
      </c>
      <c r="EK5" s="18">
        <f>DW5</f>
        <v>2120000</v>
      </c>
      <c r="EL5" s="19" t="s">
        <v>37</v>
      </c>
      <c r="EN5" s="12"/>
      <c r="EO5" s="13"/>
      <c r="EP5" s="13"/>
      <c r="EQ5" s="27"/>
      <c r="ER5" s="13"/>
      <c r="ES5" s="13">
        <v>1890</v>
      </c>
      <c r="ET5" s="28" t="s">
        <v>34</v>
      </c>
      <c r="EU5" s="27">
        <v>19900</v>
      </c>
      <c r="EV5" s="29" t="s">
        <v>32</v>
      </c>
      <c r="EW5" s="13">
        <v>12700</v>
      </c>
      <c r="EX5" s="3" t="s">
        <v>36</v>
      </c>
      <c r="EY5" s="18">
        <f>EK5+45000</f>
        <v>2165000</v>
      </c>
      <c r="EZ5" s="19" t="s">
        <v>37</v>
      </c>
      <c r="FB5" s="12"/>
      <c r="FC5" s="13"/>
      <c r="FD5" s="13"/>
      <c r="FE5" s="27">
        <v>10000</v>
      </c>
      <c r="FF5" s="13" t="s">
        <v>38</v>
      </c>
      <c r="FG5" s="13">
        <v>1890</v>
      </c>
      <c r="FH5" s="28" t="s">
        <v>34</v>
      </c>
      <c r="FI5" s="27">
        <v>21000</v>
      </c>
      <c r="FJ5" s="29" t="s">
        <v>32</v>
      </c>
      <c r="FK5" s="13">
        <v>17200</v>
      </c>
      <c r="FL5" s="3" t="s">
        <v>36</v>
      </c>
      <c r="FM5" s="18">
        <f>EY5</f>
        <v>2165000</v>
      </c>
      <c r="FN5" s="19" t="s">
        <v>37</v>
      </c>
    </row>
    <row r="6" spans="1:170" x14ac:dyDescent="0.25">
      <c r="A6" s="30" t="s">
        <v>39</v>
      </c>
      <c r="C6" s="3"/>
      <c r="D6" s="12"/>
      <c r="E6" s="13"/>
      <c r="F6" s="13"/>
      <c r="G6" s="31"/>
      <c r="I6" s="13">
        <v>2000</v>
      </c>
      <c r="J6" s="28" t="s">
        <v>40</v>
      </c>
      <c r="K6" s="31"/>
      <c r="L6" s="29"/>
      <c r="M6" s="32">
        <f>110000</f>
        <v>110000</v>
      </c>
      <c r="N6" s="33" t="s">
        <v>39</v>
      </c>
      <c r="O6" s="18">
        <f>SUM(O2:O5)</f>
        <v>2111900</v>
      </c>
      <c r="P6" s="19" t="s">
        <v>17</v>
      </c>
      <c r="R6" s="12"/>
      <c r="S6" s="13"/>
      <c r="T6" s="13"/>
      <c r="U6" s="27"/>
      <c r="V6" s="13"/>
      <c r="W6" s="13"/>
      <c r="X6" s="28"/>
      <c r="Y6" s="31"/>
      <c r="Z6" s="29"/>
      <c r="AA6" s="13"/>
      <c r="AB6" s="3"/>
      <c r="AC6" s="18">
        <f>SUM(AC2:AC5)</f>
        <v>2162210</v>
      </c>
      <c r="AD6" s="19" t="s">
        <v>17</v>
      </c>
      <c r="AF6" s="12"/>
      <c r="AG6" s="13"/>
      <c r="AH6" s="13"/>
      <c r="AI6" s="27"/>
      <c r="AJ6" s="13"/>
      <c r="AK6" s="13"/>
      <c r="AL6" s="28"/>
      <c r="AM6" s="31"/>
      <c r="AN6" s="29"/>
      <c r="AO6" s="13"/>
      <c r="AP6" s="3"/>
      <c r="AQ6" s="18">
        <f>SUM(AQ2:AQ5)</f>
        <v>2215620</v>
      </c>
      <c r="AR6" s="19" t="s">
        <v>17</v>
      </c>
      <c r="AT6" s="12"/>
      <c r="AU6" s="13"/>
      <c r="AV6" s="13"/>
      <c r="AW6" s="27"/>
      <c r="AX6" s="13"/>
      <c r="AY6" s="13"/>
      <c r="AZ6" s="28"/>
      <c r="BA6" s="31"/>
      <c r="BB6" s="29"/>
      <c r="BC6" s="13">
        <v>6000</v>
      </c>
      <c r="BD6" s="3" t="s">
        <v>55</v>
      </c>
      <c r="BE6" s="18">
        <f>SUM(BE2:BE5)</f>
        <v>2261630</v>
      </c>
      <c r="BF6" s="19" t="s">
        <v>17</v>
      </c>
      <c r="BH6" s="12"/>
      <c r="BI6" s="13"/>
      <c r="BJ6" s="13"/>
      <c r="BK6" s="27"/>
      <c r="BL6" s="13"/>
      <c r="BM6" s="13"/>
      <c r="BN6" s="28"/>
      <c r="BO6" s="31"/>
      <c r="BP6" s="29"/>
      <c r="BQ6" s="53">
        <v>20000</v>
      </c>
      <c r="BR6" s="54" t="s">
        <v>54</v>
      </c>
      <c r="BS6" s="18">
        <f>SUM(BS2:BS5)</f>
        <v>2318540</v>
      </c>
      <c r="BT6" s="19" t="s">
        <v>17</v>
      </c>
      <c r="BV6" s="12"/>
      <c r="BW6" s="13"/>
      <c r="BX6" s="13"/>
      <c r="BY6" s="27"/>
      <c r="BZ6" s="13"/>
      <c r="CA6" s="13"/>
      <c r="CB6" s="28"/>
      <c r="CC6" s="31"/>
      <c r="CD6" s="29"/>
      <c r="CE6" s="50">
        <v>150000</v>
      </c>
      <c r="CF6" s="51" t="s">
        <v>39</v>
      </c>
      <c r="CG6" s="18">
        <f>SUM(CG2:CG5)</f>
        <v>2483750</v>
      </c>
      <c r="CH6" s="19" t="s">
        <v>17</v>
      </c>
      <c r="CJ6" s="12"/>
      <c r="CK6" s="13"/>
      <c r="CL6" s="13"/>
      <c r="CM6" s="27"/>
      <c r="CN6" s="13"/>
      <c r="CO6" s="13"/>
      <c r="CP6" s="28"/>
      <c r="CQ6" s="31"/>
      <c r="CR6" s="29"/>
      <c r="CS6" s="13"/>
      <c r="CT6" s="3"/>
      <c r="CU6" s="18">
        <f>SUM(CU2:CU5)</f>
        <v>2464550</v>
      </c>
      <c r="CV6" s="19" t="s">
        <v>17</v>
      </c>
      <c r="CX6" s="12"/>
      <c r="CY6" s="13"/>
      <c r="CZ6" s="13"/>
      <c r="DA6" s="27"/>
      <c r="DB6" s="13"/>
      <c r="DC6" s="13"/>
      <c r="DD6" s="28"/>
      <c r="DE6" s="31"/>
      <c r="DF6" s="29"/>
      <c r="DG6" s="13">
        <v>120000</v>
      </c>
      <c r="DH6" s="3" t="s">
        <v>45</v>
      </c>
      <c r="DI6" s="18">
        <f>SUM(DI2:DI5)</f>
        <v>2341750</v>
      </c>
      <c r="DJ6" s="19" t="s">
        <v>17</v>
      </c>
      <c r="DL6" s="12"/>
      <c r="DM6" s="13"/>
      <c r="DN6" s="13"/>
      <c r="DO6" s="27"/>
      <c r="DP6" s="13"/>
      <c r="DQ6" s="13">
        <v>15000</v>
      </c>
      <c r="DR6" s="28" t="s">
        <v>41</v>
      </c>
      <c r="DS6" s="31"/>
      <c r="DT6" s="29"/>
      <c r="DU6" s="13">
        <v>23000</v>
      </c>
      <c r="DV6" s="3" t="s">
        <v>57</v>
      </c>
      <c r="DW6" s="18">
        <f>SUM(DW2:DW5)</f>
        <v>2358860</v>
      </c>
      <c r="DX6" s="19" t="s">
        <v>17</v>
      </c>
      <c r="DZ6" s="12"/>
      <c r="EA6" s="13"/>
      <c r="EB6" s="13"/>
      <c r="EC6" s="27"/>
      <c r="ED6" s="13"/>
      <c r="EE6" s="13"/>
      <c r="EF6" s="28"/>
      <c r="EG6" s="31"/>
      <c r="EH6" s="29"/>
      <c r="EI6" s="50">
        <v>130000</v>
      </c>
      <c r="EJ6" s="51" t="s">
        <v>39</v>
      </c>
      <c r="EK6" s="18">
        <f>SUM(EK2:EK5)</f>
        <v>2283470</v>
      </c>
      <c r="EL6" s="19" t="s">
        <v>17</v>
      </c>
      <c r="EN6" s="12"/>
      <c r="EO6" s="13"/>
      <c r="EP6" s="13"/>
      <c r="EQ6" s="27"/>
      <c r="ER6" s="13"/>
      <c r="ES6" s="13"/>
      <c r="ET6" s="28"/>
      <c r="EU6" s="31"/>
      <c r="EV6" s="29"/>
      <c r="EW6" s="50">
        <v>45000</v>
      </c>
      <c r="EX6" s="51" t="s">
        <v>39</v>
      </c>
      <c r="EY6" s="18">
        <f>SUM(EY2:EY5)</f>
        <v>2338980</v>
      </c>
      <c r="EZ6" s="19" t="s">
        <v>17</v>
      </c>
      <c r="FB6" s="12"/>
      <c r="FC6" s="13"/>
      <c r="FD6" s="13"/>
      <c r="FE6" s="27"/>
      <c r="FF6" s="13"/>
      <c r="FG6" s="13"/>
      <c r="FH6" s="28"/>
      <c r="FI6" s="31">
        <v>45000</v>
      </c>
      <c r="FJ6" s="29" t="s">
        <v>42</v>
      </c>
      <c r="FK6" s="13">
        <v>40000</v>
      </c>
      <c r="FL6" s="3" t="s">
        <v>39</v>
      </c>
      <c r="FM6" s="18">
        <f>SUM(FM2:FM5)</f>
        <v>2374290</v>
      </c>
      <c r="FN6" s="19" t="s">
        <v>17</v>
      </c>
    </row>
    <row r="7" spans="1:170" ht="15.75" customHeight="1" x14ac:dyDescent="0.25">
      <c r="A7" s="34" t="s">
        <v>43</v>
      </c>
      <c r="B7" s="3"/>
      <c r="C7" s="3"/>
      <c r="D7" s="12"/>
      <c r="E7" s="13"/>
      <c r="F7" s="13"/>
      <c r="G7" s="31"/>
      <c r="H7" s="29"/>
      <c r="I7" s="13"/>
      <c r="J7" s="28"/>
      <c r="K7" s="35"/>
      <c r="L7" s="36"/>
      <c r="M7" s="13"/>
      <c r="N7" s="3"/>
      <c r="O7" s="18">
        <f>O2+O4</f>
        <v>141900</v>
      </c>
      <c r="P7" s="19" t="s">
        <v>44</v>
      </c>
      <c r="R7" s="12"/>
      <c r="S7" s="13"/>
      <c r="T7" s="13"/>
      <c r="U7" s="31"/>
      <c r="V7" s="29"/>
      <c r="W7" s="13"/>
      <c r="X7" s="28"/>
      <c r="Y7" s="35"/>
      <c r="Z7" s="36"/>
      <c r="AA7" s="13"/>
      <c r="AB7" s="3"/>
      <c r="AC7" s="18">
        <f>AC2+AC4</f>
        <v>192210</v>
      </c>
      <c r="AD7" s="19" t="s">
        <v>44</v>
      </c>
      <c r="AF7" s="12"/>
      <c r="AG7" s="13"/>
      <c r="AH7" s="13"/>
      <c r="AI7" s="31"/>
      <c r="AJ7" s="29"/>
      <c r="AK7" s="13"/>
      <c r="AL7" s="28"/>
      <c r="AM7" s="35"/>
      <c r="AN7" s="36"/>
      <c r="AO7" s="13"/>
      <c r="AP7" s="3"/>
      <c r="AQ7" s="18">
        <f>AQ2+AQ4</f>
        <v>245620</v>
      </c>
      <c r="AR7" s="19" t="s">
        <v>44</v>
      </c>
      <c r="AT7" s="12"/>
      <c r="AU7" s="13"/>
      <c r="AV7" s="13"/>
      <c r="AW7" s="31"/>
      <c r="AX7" s="29"/>
      <c r="AY7" s="13"/>
      <c r="AZ7" s="28"/>
      <c r="BA7" s="35"/>
      <c r="BB7" s="36"/>
      <c r="BC7" s="13"/>
      <c r="BD7" s="3"/>
      <c r="BE7" s="18">
        <f>BE2+BE4</f>
        <v>291630</v>
      </c>
      <c r="BF7" s="19" t="s">
        <v>44</v>
      </c>
      <c r="BH7" s="12"/>
      <c r="BI7" s="13"/>
      <c r="BJ7" s="13"/>
      <c r="BK7" s="31"/>
      <c r="BL7" s="29"/>
      <c r="BM7" s="13"/>
      <c r="BN7" s="28"/>
      <c r="BO7" s="35"/>
      <c r="BP7" s="36"/>
      <c r="BQ7" s="13"/>
      <c r="BR7" s="3"/>
      <c r="BS7" s="18">
        <f>BS2+BS4</f>
        <v>348540</v>
      </c>
      <c r="BT7" s="19" t="s">
        <v>44</v>
      </c>
      <c r="BV7" s="12"/>
      <c r="BW7" s="13"/>
      <c r="BX7" s="13"/>
      <c r="BY7" s="31"/>
      <c r="BZ7" s="29"/>
      <c r="CA7" s="13"/>
      <c r="CB7" s="28"/>
      <c r="CC7" s="35"/>
      <c r="CD7" s="36"/>
      <c r="CE7" s="13">
        <v>11000</v>
      </c>
      <c r="CF7" s="3" t="s">
        <v>56</v>
      </c>
      <c r="CG7" s="18">
        <f>CG2+CG4</f>
        <v>363750</v>
      </c>
      <c r="CH7" s="19" t="s">
        <v>44</v>
      </c>
      <c r="CJ7" s="12"/>
      <c r="CK7" s="13"/>
      <c r="CL7" s="13"/>
      <c r="CM7" s="31"/>
      <c r="CN7" s="29"/>
      <c r="CO7" s="13"/>
      <c r="CP7" s="28"/>
      <c r="CQ7" s="35"/>
      <c r="CR7" s="36"/>
      <c r="CS7" s="13"/>
      <c r="CT7" s="3"/>
      <c r="CU7" s="18">
        <f>CU2+CU4</f>
        <v>344550</v>
      </c>
      <c r="CV7" s="19" t="s">
        <v>44</v>
      </c>
      <c r="CX7" s="12"/>
      <c r="CY7" s="13"/>
      <c r="CZ7" s="13"/>
      <c r="DA7" s="31"/>
      <c r="DB7" s="29"/>
      <c r="DC7" s="13"/>
      <c r="DD7" s="28"/>
      <c r="DE7" s="35"/>
      <c r="DF7" s="36"/>
      <c r="DI7" s="18">
        <f>DI2+DI4</f>
        <v>221750</v>
      </c>
      <c r="DJ7" s="19" t="s">
        <v>44</v>
      </c>
      <c r="DL7" s="12"/>
      <c r="DM7" s="13"/>
      <c r="DN7" s="13"/>
      <c r="DO7" s="31"/>
      <c r="DP7" s="29"/>
      <c r="DQ7" s="13"/>
      <c r="DR7" s="28"/>
      <c r="DS7" s="35"/>
      <c r="DT7" s="36"/>
      <c r="DU7" s="13"/>
      <c r="DV7" s="3"/>
      <c r="DW7" s="18">
        <f>DW2+DW4</f>
        <v>238860</v>
      </c>
      <c r="DX7" s="19" t="s">
        <v>44</v>
      </c>
      <c r="DZ7" s="12"/>
      <c r="EA7" s="13"/>
      <c r="EB7" s="13"/>
      <c r="EC7" s="31"/>
      <c r="ED7" s="29"/>
      <c r="EE7" s="13"/>
      <c r="EF7" s="28"/>
      <c r="EG7" s="35"/>
      <c r="EH7" s="36"/>
      <c r="EI7" s="13"/>
      <c r="EJ7" s="3"/>
      <c r="EK7" s="18">
        <f>EK2+EK4</f>
        <v>163470</v>
      </c>
      <c r="EL7" s="19" t="s">
        <v>44</v>
      </c>
      <c r="EN7" s="12"/>
      <c r="EO7" s="13"/>
      <c r="EP7" s="13"/>
      <c r="EQ7" s="31"/>
      <c r="ER7" s="29"/>
      <c r="ES7" s="13"/>
      <c r="ET7" s="28"/>
      <c r="EU7" s="35"/>
      <c r="EV7" s="36"/>
      <c r="EW7" s="13"/>
      <c r="EX7" s="3"/>
      <c r="EY7" s="18">
        <f>EY2+EY4</f>
        <v>173980</v>
      </c>
      <c r="EZ7" s="19" t="s">
        <v>44</v>
      </c>
      <c r="FB7" s="12"/>
      <c r="FC7" s="13"/>
      <c r="FD7" s="13"/>
      <c r="FE7" s="31"/>
      <c r="FF7" s="29"/>
      <c r="FG7" s="13"/>
      <c r="FH7" s="28"/>
      <c r="FI7" s="35"/>
      <c r="FJ7" s="36"/>
      <c r="FK7" s="13">
        <v>30000</v>
      </c>
      <c r="FL7" s="3" t="s">
        <v>53</v>
      </c>
      <c r="FM7" s="18">
        <f>FM2+FM4</f>
        <v>209290</v>
      </c>
      <c r="FN7" s="19" t="s">
        <v>44</v>
      </c>
    </row>
    <row r="8" spans="1:170" ht="15.75" customHeight="1" x14ac:dyDescent="0.25">
      <c r="A8" s="3"/>
      <c r="B8" s="3"/>
      <c r="C8" s="3"/>
      <c r="D8" s="12"/>
      <c r="E8" s="13"/>
      <c r="F8" s="13"/>
      <c r="G8" s="27"/>
      <c r="H8" s="13"/>
      <c r="I8" s="13"/>
      <c r="J8" s="28"/>
      <c r="K8" s="35"/>
      <c r="L8" s="36"/>
      <c r="M8" s="13"/>
      <c r="N8" s="3"/>
      <c r="O8" s="37">
        <f>O6-D2</f>
        <v>50900</v>
      </c>
      <c r="P8" s="38" t="s">
        <v>46</v>
      </c>
      <c r="R8" s="12"/>
      <c r="S8" s="13"/>
      <c r="T8" s="13"/>
      <c r="U8" s="27"/>
      <c r="V8" s="13"/>
      <c r="W8" s="13"/>
      <c r="X8" s="28"/>
      <c r="Y8" s="35"/>
      <c r="Z8" s="36"/>
      <c r="AA8" s="13"/>
      <c r="AB8" s="3"/>
      <c r="AC8" s="39">
        <f>AC6-R2</f>
        <v>50310</v>
      </c>
      <c r="AD8" s="38" t="s">
        <v>46</v>
      </c>
      <c r="AF8" s="12"/>
      <c r="AG8" s="13"/>
      <c r="AH8" s="13"/>
      <c r="AI8" s="27"/>
      <c r="AJ8" s="13"/>
      <c r="AK8" s="13"/>
      <c r="AL8" s="28"/>
      <c r="AM8" s="35"/>
      <c r="AN8" s="36"/>
      <c r="AO8" s="13"/>
      <c r="AP8" s="3"/>
      <c r="AQ8" s="39">
        <f>AQ6-AF2</f>
        <v>53410</v>
      </c>
      <c r="AR8" s="38" t="s">
        <v>46</v>
      </c>
      <c r="AT8" s="12"/>
      <c r="AU8" s="13"/>
      <c r="AV8" s="13"/>
      <c r="AW8" s="27"/>
      <c r="AX8" s="13"/>
      <c r="AY8" s="13"/>
      <c r="AZ8" s="28"/>
      <c r="BA8" s="35"/>
      <c r="BB8" s="36"/>
      <c r="BC8" s="13"/>
      <c r="BD8" s="3"/>
      <c r="BE8" s="39">
        <f>BE6-AT2</f>
        <v>46010</v>
      </c>
      <c r="BF8" s="38" t="s">
        <v>46</v>
      </c>
      <c r="BH8" s="12"/>
      <c r="BI8" s="13"/>
      <c r="BJ8" s="13"/>
      <c r="BK8" s="27" t="s">
        <v>19</v>
      </c>
      <c r="BL8" s="13"/>
      <c r="BM8" s="13"/>
      <c r="BN8" s="28"/>
      <c r="BO8" s="35"/>
      <c r="BP8" s="36"/>
      <c r="BQ8" s="13"/>
      <c r="BR8" s="3"/>
      <c r="BS8" s="39">
        <f>BS6-BH2</f>
        <v>56910</v>
      </c>
      <c r="BT8" s="38" t="s">
        <v>46</v>
      </c>
      <c r="BV8" s="12"/>
      <c r="BW8" s="13"/>
      <c r="BX8" s="13"/>
      <c r="BY8" s="27"/>
      <c r="BZ8" s="13"/>
      <c r="CA8" s="13"/>
      <c r="CB8" s="28"/>
      <c r="CC8" s="35"/>
      <c r="CD8" s="36"/>
      <c r="CE8" s="13"/>
      <c r="CF8" s="3"/>
      <c r="CG8" s="39">
        <f>CG6-BV2</f>
        <v>165210</v>
      </c>
      <c r="CH8" s="38" t="s">
        <v>46</v>
      </c>
      <c r="CJ8" s="12"/>
      <c r="CK8" s="13"/>
      <c r="CL8" s="13"/>
      <c r="CM8" s="27"/>
      <c r="CN8" s="13"/>
      <c r="CO8" s="13"/>
      <c r="CP8" s="28"/>
      <c r="CQ8" s="35"/>
      <c r="CR8" s="36"/>
      <c r="CS8" s="13"/>
      <c r="CT8" s="3"/>
      <c r="CU8" s="39">
        <f>CU6-CJ2</f>
        <v>-19200</v>
      </c>
      <c r="CV8" s="38" t="s">
        <v>46</v>
      </c>
      <c r="CX8" s="12"/>
      <c r="CY8" s="13"/>
      <c r="CZ8" s="13"/>
      <c r="DA8" s="27"/>
      <c r="DB8" s="13"/>
      <c r="DC8" s="13"/>
      <c r="DD8" s="28"/>
      <c r="DE8" s="35"/>
      <c r="DF8" s="36"/>
      <c r="DG8" s="13"/>
      <c r="DH8" s="3"/>
      <c r="DI8" s="39">
        <f>DI6-CX2</f>
        <v>-122800</v>
      </c>
      <c r="DJ8" s="38" t="s">
        <v>46</v>
      </c>
      <c r="DL8" s="12"/>
      <c r="DM8" s="13"/>
      <c r="DN8" s="13"/>
      <c r="DO8" s="27"/>
      <c r="DP8" s="13"/>
      <c r="DQ8" s="13"/>
      <c r="DR8" s="28"/>
      <c r="DS8" s="35"/>
      <c r="DT8" s="36"/>
      <c r="DU8" s="13"/>
      <c r="DV8" s="3"/>
      <c r="DW8" s="39">
        <f>DW6-DL2</f>
        <v>17110</v>
      </c>
      <c r="DX8" s="38" t="s">
        <v>46</v>
      </c>
      <c r="DZ8" s="12"/>
      <c r="EA8" s="13"/>
      <c r="EB8" s="13"/>
      <c r="EC8" s="27"/>
      <c r="ED8" s="13"/>
      <c r="EE8" s="13"/>
      <c r="EF8" s="28"/>
      <c r="EG8" s="35"/>
      <c r="EH8" s="36"/>
      <c r="EI8" s="13"/>
      <c r="EJ8" s="3"/>
      <c r="EK8" s="39">
        <f>EK6-DZ2</f>
        <v>-75390</v>
      </c>
      <c r="EL8" s="38" t="s">
        <v>46</v>
      </c>
      <c r="EN8" s="12"/>
      <c r="EO8" s="13"/>
      <c r="EP8" s="13"/>
      <c r="EQ8" s="27"/>
      <c r="ER8" s="13"/>
      <c r="ES8" s="13"/>
      <c r="ET8" s="28"/>
      <c r="EU8" s="35"/>
      <c r="EV8" s="36"/>
      <c r="EW8" s="13"/>
      <c r="EX8" s="3"/>
      <c r="EY8" s="39">
        <f>EY6-EN2</f>
        <v>55510</v>
      </c>
      <c r="EZ8" s="38" t="s">
        <v>46</v>
      </c>
      <c r="FB8" s="12"/>
      <c r="FC8" s="13"/>
      <c r="FD8" s="13"/>
      <c r="FE8" s="27"/>
      <c r="FF8" s="13"/>
      <c r="FG8" s="13"/>
      <c r="FH8" s="28"/>
      <c r="FI8" s="35"/>
      <c r="FJ8" s="36"/>
      <c r="FK8" s="13"/>
      <c r="FL8" s="3"/>
      <c r="FM8" s="39">
        <f>FM6-FB2</f>
        <v>35310</v>
      </c>
      <c r="FN8" s="38" t="s">
        <v>46</v>
      </c>
    </row>
    <row r="9" spans="1:170" x14ac:dyDescent="0.25">
      <c r="A9" s="3"/>
      <c r="B9" s="3"/>
      <c r="C9" s="3"/>
      <c r="D9" s="12"/>
      <c r="E9" s="13"/>
      <c r="F9" s="13"/>
      <c r="G9" s="27"/>
      <c r="H9" s="13"/>
      <c r="I9" s="13"/>
      <c r="J9" s="28"/>
      <c r="K9" s="35"/>
      <c r="L9" s="36"/>
      <c r="M9" s="13"/>
      <c r="N9" s="40"/>
      <c r="O9" s="3"/>
      <c r="P9" s="3"/>
      <c r="R9" s="12"/>
      <c r="S9" s="13"/>
      <c r="T9" s="13"/>
      <c r="U9" s="27"/>
      <c r="V9" s="13"/>
      <c r="W9" s="13"/>
      <c r="X9" s="28"/>
      <c r="Y9" s="35"/>
      <c r="Z9" s="36"/>
      <c r="AA9" s="13"/>
      <c r="AB9" s="40"/>
      <c r="AC9" s="3"/>
      <c r="AD9" s="3"/>
      <c r="AF9" s="12"/>
      <c r="AG9" s="13"/>
      <c r="AH9" s="13"/>
      <c r="AI9" s="27"/>
      <c r="AJ9" s="13"/>
      <c r="AK9" s="13"/>
      <c r="AL9" s="28"/>
      <c r="AM9" s="35"/>
      <c r="AN9" s="36"/>
      <c r="AO9" s="13"/>
      <c r="AP9" s="40"/>
      <c r="AQ9" s="3"/>
      <c r="AR9" s="3"/>
      <c r="AT9" s="12"/>
      <c r="AU9" s="13"/>
      <c r="AV9" s="13"/>
      <c r="AW9" s="27"/>
      <c r="AX9" s="13"/>
      <c r="AY9" s="13"/>
      <c r="AZ9" s="28"/>
      <c r="BA9" s="35"/>
      <c r="BB9" s="36"/>
      <c r="BC9" s="13"/>
      <c r="BD9" s="40"/>
      <c r="BE9" s="3"/>
      <c r="BF9" s="3"/>
      <c r="BH9" s="12"/>
      <c r="BI9" s="13"/>
      <c r="BJ9" s="13"/>
      <c r="BK9" s="27"/>
      <c r="BL9" s="13"/>
      <c r="BM9" s="13"/>
      <c r="BN9" s="28"/>
      <c r="BO9" s="35"/>
      <c r="BP9" s="36"/>
      <c r="BQ9" s="13"/>
      <c r="BR9" s="40"/>
      <c r="BS9" s="3"/>
      <c r="BT9" s="3"/>
      <c r="BV9" s="12"/>
      <c r="BW9" s="13"/>
      <c r="BX9" s="13"/>
      <c r="BY9" s="27"/>
      <c r="BZ9" s="13"/>
      <c r="CA9" s="13"/>
      <c r="CB9" s="28"/>
      <c r="CC9" s="35"/>
      <c r="CD9" s="36"/>
      <c r="CE9" s="13"/>
      <c r="CF9" s="40"/>
      <c r="CG9" s="3"/>
      <c r="CH9" s="3"/>
      <c r="CJ9" s="12"/>
      <c r="CK9" s="13"/>
      <c r="CL9" s="13"/>
      <c r="CM9" s="27"/>
      <c r="CN9" s="13"/>
      <c r="CO9" s="13"/>
      <c r="CP9" s="28"/>
      <c r="CQ9" s="35"/>
      <c r="CR9" s="36"/>
      <c r="CS9" s="13"/>
      <c r="CT9" s="40"/>
      <c r="CU9" s="3"/>
      <c r="CV9" s="3"/>
      <c r="CX9" s="12"/>
      <c r="CY9" s="13"/>
      <c r="CZ9" s="13"/>
      <c r="DA9" s="27"/>
      <c r="DB9" s="13"/>
      <c r="DC9" s="13"/>
      <c r="DD9" s="28"/>
      <c r="DE9" s="35"/>
      <c r="DF9" s="36"/>
      <c r="DG9" s="13"/>
      <c r="DH9" s="40"/>
      <c r="DI9" s="3"/>
      <c r="DJ9" s="3"/>
      <c r="DL9" s="12"/>
      <c r="DM9" s="13"/>
      <c r="DN9" s="13"/>
      <c r="DO9" s="27"/>
      <c r="DP9" s="13"/>
      <c r="DQ9" s="13"/>
      <c r="DR9" s="28"/>
      <c r="DS9" s="35"/>
      <c r="DT9" s="36"/>
      <c r="DU9" s="13"/>
      <c r="DV9" s="40"/>
      <c r="DW9" s="3"/>
      <c r="DX9" s="3"/>
      <c r="DZ9" s="12"/>
      <c r="EA9" s="13"/>
      <c r="EB9" s="13"/>
      <c r="EC9" s="27"/>
      <c r="ED9" s="13"/>
      <c r="EE9" s="13"/>
      <c r="EF9" s="28"/>
      <c r="EG9" s="35"/>
      <c r="EH9" s="36"/>
      <c r="EI9" s="13"/>
      <c r="EJ9" s="40"/>
      <c r="EK9" s="3"/>
      <c r="EL9" s="3"/>
      <c r="EN9" s="12"/>
      <c r="EO9" s="13"/>
      <c r="EP9" s="13"/>
      <c r="EQ9" s="27"/>
      <c r="ER9" s="13"/>
      <c r="ES9" s="13"/>
      <c r="ET9" s="28"/>
      <c r="EU9" s="35"/>
      <c r="EV9" s="36"/>
      <c r="EW9" s="13"/>
      <c r="EX9" s="40"/>
      <c r="EY9" s="3"/>
      <c r="EZ9" s="3"/>
      <c r="FB9" s="12"/>
      <c r="FC9" s="13"/>
      <c r="FD9" s="13"/>
      <c r="FE9" s="27"/>
      <c r="FF9" s="13"/>
      <c r="FG9" s="13"/>
      <c r="FH9" s="28"/>
      <c r="FI9" s="35"/>
      <c r="FJ9" s="36"/>
      <c r="FK9" s="13"/>
      <c r="FL9" s="40"/>
      <c r="FM9" s="3"/>
      <c r="FN9" s="3"/>
    </row>
    <row r="10" spans="1:170" x14ac:dyDescent="0.25">
      <c r="A10" s="3"/>
      <c r="B10" s="3"/>
      <c r="C10" s="3"/>
      <c r="D10" s="12"/>
      <c r="E10" s="13"/>
      <c r="F10" s="13"/>
      <c r="G10" s="27"/>
      <c r="H10" s="13"/>
      <c r="I10" s="29"/>
      <c r="J10" s="41"/>
      <c r="K10" s="35"/>
      <c r="L10" s="36"/>
      <c r="M10" s="29"/>
      <c r="N10" s="40"/>
      <c r="O10" s="3"/>
      <c r="P10" s="3"/>
      <c r="R10" s="12"/>
      <c r="S10" s="13"/>
      <c r="T10" s="13"/>
      <c r="U10" s="27"/>
      <c r="V10" s="13"/>
      <c r="W10" s="29"/>
      <c r="X10" s="41"/>
      <c r="Y10" s="35"/>
      <c r="Z10" s="36"/>
      <c r="AA10" s="29"/>
      <c r="AB10" s="40"/>
      <c r="AC10" s="3"/>
      <c r="AD10" s="3"/>
      <c r="AF10" s="12"/>
      <c r="AG10" s="13"/>
      <c r="AH10" s="13"/>
      <c r="AI10" s="27"/>
      <c r="AJ10" s="13"/>
      <c r="AK10" s="29"/>
      <c r="AL10" s="41"/>
      <c r="AM10" s="35"/>
      <c r="AN10" s="36"/>
      <c r="AO10" s="29"/>
      <c r="AP10" s="40"/>
      <c r="AQ10" s="3"/>
      <c r="AR10" s="3"/>
      <c r="AT10" s="12"/>
      <c r="AU10" s="13"/>
      <c r="AV10" s="13"/>
      <c r="AW10" s="27"/>
      <c r="AX10" s="13"/>
      <c r="AY10" s="29"/>
      <c r="AZ10" s="41"/>
      <c r="BA10" s="35"/>
      <c r="BB10" s="36"/>
      <c r="BC10" s="29"/>
      <c r="BD10" s="40"/>
      <c r="BE10" s="3"/>
      <c r="BF10" s="3"/>
      <c r="BH10" s="12"/>
      <c r="BI10" s="13"/>
      <c r="BJ10" s="13"/>
      <c r="BK10" s="27"/>
      <c r="BL10" s="13"/>
      <c r="BM10" s="29"/>
      <c r="BN10" s="41"/>
      <c r="BO10" s="35"/>
      <c r="BP10" s="36"/>
      <c r="BQ10" s="29"/>
      <c r="BR10" s="40"/>
      <c r="BS10" s="3"/>
      <c r="BT10" s="3"/>
      <c r="BV10" s="12"/>
      <c r="BW10" s="13"/>
      <c r="BX10" s="13"/>
      <c r="BY10" s="27"/>
      <c r="BZ10" s="13"/>
      <c r="CA10" s="29"/>
      <c r="CB10" s="41"/>
      <c r="CC10" s="35"/>
      <c r="CD10" s="36"/>
      <c r="CE10" s="29"/>
      <c r="CF10" s="40"/>
      <c r="CG10" s="3"/>
      <c r="CH10" s="3"/>
      <c r="CJ10" s="12"/>
      <c r="CK10" s="13"/>
      <c r="CL10" s="13"/>
      <c r="CM10" s="27"/>
      <c r="CN10" s="13"/>
      <c r="CO10" s="29"/>
      <c r="CP10" s="41"/>
      <c r="CQ10" s="35"/>
      <c r="CR10" s="36"/>
      <c r="CS10" s="29"/>
      <c r="CT10" s="40"/>
      <c r="CU10" s="3"/>
      <c r="CV10" s="3"/>
      <c r="CX10" s="12"/>
      <c r="CY10" s="13"/>
      <c r="CZ10" s="13"/>
      <c r="DA10" s="27"/>
      <c r="DB10" s="13"/>
      <c r="DC10" s="29"/>
      <c r="DD10" s="41"/>
      <c r="DE10" s="35"/>
      <c r="DF10" s="36"/>
      <c r="DG10" s="29"/>
      <c r="DH10" s="40"/>
      <c r="DI10" s="3"/>
      <c r="DJ10" s="3"/>
      <c r="DL10" s="12"/>
      <c r="DM10" s="13"/>
      <c r="DN10" s="13"/>
      <c r="DO10" s="27"/>
      <c r="DP10" s="13"/>
      <c r="DQ10" s="29"/>
      <c r="DR10" s="41"/>
      <c r="DS10" s="35"/>
      <c r="DT10" s="36"/>
      <c r="DU10" s="29"/>
      <c r="DV10" s="40"/>
      <c r="DW10" s="3"/>
      <c r="DX10" s="3"/>
      <c r="DZ10" s="12"/>
      <c r="EA10" s="13"/>
      <c r="EB10" s="13"/>
      <c r="EC10" s="27"/>
      <c r="ED10" s="13"/>
      <c r="EE10" s="29"/>
      <c r="EF10" s="41"/>
      <c r="EG10" s="35"/>
      <c r="EH10" s="36"/>
      <c r="EI10" s="29"/>
      <c r="EJ10" s="40"/>
      <c r="EK10" s="3"/>
      <c r="EL10" s="3"/>
      <c r="EN10" s="12"/>
      <c r="EO10" s="13"/>
      <c r="EP10" s="13"/>
      <c r="EQ10" s="27"/>
      <c r="ER10" s="13"/>
      <c r="ES10" s="29"/>
      <c r="ET10" s="41"/>
      <c r="EU10" s="35"/>
      <c r="EV10" s="36"/>
      <c r="EW10" s="29"/>
      <c r="EX10" s="40"/>
      <c r="EY10" s="3"/>
      <c r="EZ10" s="3"/>
      <c r="FB10" s="12"/>
      <c r="FC10" s="13"/>
      <c r="FD10" s="13"/>
      <c r="FE10" s="27"/>
      <c r="FF10" s="13"/>
      <c r="FG10" s="29"/>
      <c r="FH10" s="41"/>
      <c r="FI10" s="35"/>
      <c r="FJ10" s="36"/>
      <c r="FK10" s="29"/>
      <c r="FL10" s="40"/>
      <c r="FM10" s="3"/>
      <c r="FN10" s="3"/>
    </row>
    <row r="11" spans="1:170" x14ac:dyDescent="0.25">
      <c r="A11" s="3"/>
      <c r="B11" s="3"/>
      <c r="C11" s="3"/>
      <c r="D11" s="12"/>
      <c r="E11" s="13"/>
      <c r="F11" s="13"/>
      <c r="G11" s="27"/>
      <c r="H11" s="13"/>
      <c r="I11" s="13"/>
      <c r="J11" s="28"/>
      <c r="K11" s="35"/>
      <c r="L11" s="36"/>
      <c r="M11" s="13"/>
      <c r="N11" s="40"/>
      <c r="O11" s="3"/>
      <c r="P11" s="3"/>
      <c r="R11" s="12"/>
      <c r="S11" s="13"/>
      <c r="T11" s="13"/>
      <c r="U11" s="27"/>
      <c r="V11" s="13"/>
      <c r="W11" s="13"/>
      <c r="X11" s="28"/>
      <c r="Y11" s="35"/>
      <c r="Z11" s="36"/>
      <c r="AA11" s="13"/>
      <c r="AB11" s="40"/>
      <c r="AC11" s="3"/>
      <c r="AD11" s="3"/>
      <c r="AF11" s="12"/>
      <c r="AG11" s="13"/>
      <c r="AH11" s="13"/>
      <c r="AI11" s="27"/>
      <c r="AJ11" s="13"/>
      <c r="AK11" s="13"/>
      <c r="AL11" s="28"/>
      <c r="AM11" s="35"/>
      <c r="AN11" s="36"/>
      <c r="AO11" s="13"/>
      <c r="AP11" s="40"/>
      <c r="AQ11" s="3"/>
      <c r="AR11" s="3"/>
      <c r="AT11" s="12"/>
      <c r="AU11" s="13"/>
      <c r="AV11" s="13"/>
      <c r="AW11" s="27"/>
      <c r="AX11" s="13"/>
      <c r="AY11" s="13"/>
      <c r="AZ11" s="28"/>
      <c r="BA11" s="35"/>
      <c r="BB11" s="36"/>
      <c r="BC11" s="13"/>
      <c r="BD11" s="40"/>
      <c r="BE11" s="3"/>
      <c r="BF11" s="3"/>
      <c r="BH11" s="12"/>
      <c r="BI11" s="13"/>
      <c r="BJ11" s="13"/>
      <c r="BK11" s="27"/>
      <c r="BL11" s="13"/>
      <c r="BM11" s="13"/>
      <c r="BN11" s="28"/>
      <c r="BO11" s="35"/>
      <c r="BP11" s="36"/>
      <c r="BQ11" s="13"/>
      <c r="BR11" s="40"/>
      <c r="BS11" s="3"/>
      <c r="BT11" s="3"/>
      <c r="BV11" s="12"/>
      <c r="BW11" s="13"/>
      <c r="BX11" s="13"/>
      <c r="BY11" s="27"/>
      <c r="BZ11" s="13"/>
      <c r="CA11" s="13"/>
      <c r="CB11" s="28"/>
      <c r="CC11" s="35"/>
      <c r="CD11" s="36"/>
      <c r="CE11" s="13"/>
      <c r="CF11" s="40"/>
      <c r="CG11" s="3"/>
      <c r="CH11" s="3"/>
      <c r="CJ11" s="12"/>
      <c r="CK11" s="13"/>
      <c r="CL11" s="13"/>
      <c r="CM11" s="27"/>
      <c r="CN11" s="13"/>
      <c r="CO11" s="13"/>
      <c r="CP11" s="28"/>
      <c r="CQ11" s="35"/>
      <c r="CR11" s="36"/>
      <c r="CS11" s="13"/>
      <c r="CT11" s="40"/>
      <c r="CU11" s="3"/>
      <c r="CV11" s="3"/>
      <c r="CX11" s="12"/>
      <c r="CY11" s="13"/>
      <c r="CZ11" s="13"/>
      <c r="DA11" s="27"/>
      <c r="DB11" s="13"/>
      <c r="DC11" s="13"/>
      <c r="DD11" s="28"/>
      <c r="DE11" s="35"/>
      <c r="DF11" s="36"/>
      <c r="DG11" s="13"/>
      <c r="DH11" s="40"/>
      <c r="DI11" s="3"/>
      <c r="DJ11" s="3"/>
      <c r="DL11" s="12"/>
      <c r="DM11" s="13"/>
      <c r="DN11" s="13"/>
      <c r="DO11" s="27"/>
      <c r="DP11" s="13"/>
      <c r="DQ11" s="13"/>
      <c r="DR11" s="28"/>
      <c r="DS11" s="35"/>
      <c r="DT11" s="36"/>
      <c r="DU11" s="13"/>
      <c r="DV11" s="40"/>
      <c r="DW11" s="3"/>
      <c r="DX11" s="3"/>
      <c r="DZ11" s="12"/>
      <c r="EA11" s="13"/>
      <c r="EB11" s="13"/>
      <c r="EC11" s="27"/>
      <c r="ED11" s="13"/>
      <c r="EE11" s="13"/>
      <c r="EF11" s="28"/>
      <c r="EG11" s="35"/>
      <c r="EH11" s="36"/>
      <c r="EI11" s="13"/>
      <c r="EJ11" s="40"/>
      <c r="EK11" s="3"/>
      <c r="EL11" s="3"/>
      <c r="EN11" s="12"/>
      <c r="EO11" s="13"/>
      <c r="EP11" s="13"/>
      <c r="EQ11" s="27"/>
      <c r="ER11" s="13"/>
      <c r="ES11" s="13"/>
      <c r="ET11" s="28"/>
      <c r="EU11" s="35"/>
      <c r="EV11" s="36"/>
      <c r="EW11" s="13"/>
      <c r="EX11" s="40"/>
      <c r="EY11" s="3"/>
      <c r="EZ11" s="3"/>
      <c r="FB11" s="12"/>
      <c r="FC11" s="13"/>
      <c r="FD11" s="13"/>
      <c r="FE11" s="27"/>
      <c r="FF11" s="13"/>
      <c r="FG11" s="13"/>
      <c r="FH11" s="28"/>
      <c r="FI11" s="35"/>
      <c r="FJ11" s="36"/>
      <c r="FK11" s="13"/>
      <c r="FL11" s="40"/>
      <c r="FM11" s="3"/>
      <c r="FN11" s="3"/>
    </row>
    <row r="12" spans="1:170" x14ac:dyDescent="0.25">
      <c r="A12" s="3"/>
      <c r="B12" s="3"/>
      <c r="C12" s="3"/>
      <c r="D12" s="12"/>
      <c r="E12" s="13"/>
      <c r="F12" s="13"/>
      <c r="G12" s="27"/>
      <c r="H12" s="13"/>
      <c r="I12" s="13"/>
      <c r="J12" s="28"/>
      <c r="K12" s="35"/>
      <c r="L12" s="36"/>
      <c r="M12" s="29"/>
      <c r="N12" s="40"/>
      <c r="O12" s="3"/>
      <c r="P12" s="3"/>
      <c r="R12" s="12"/>
      <c r="S12" s="13"/>
      <c r="T12" s="13"/>
      <c r="U12" s="27"/>
      <c r="V12" s="13"/>
      <c r="W12" s="13"/>
      <c r="X12" s="28"/>
      <c r="Y12" s="35"/>
      <c r="Z12" s="36"/>
      <c r="AA12" s="29"/>
      <c r="AB12" s="40"/>
      <c r="AC12" s="3"/>
      <c r="AD12" s="3"/>
      <c r="AF12" s="12"/>
      <c r="AG12" s="13"/>
      <c r="AH12" s="13"/>
      <c r="AI12" s="27"/>
      <c r="AJ12" s="13"/>
      <c r="AK12" s="13"/>
      <c r="AL12" s="28"/>
      <c r="AM12" s="35"/>
      <c r="AN12" s="36"/>
      <c r="AO12" s="29"/>
      <c r="AP12" s="40"/>
      <c r="AQ12" s="3"/>
      <c r="AR12" s="3" t="s">
        <v>47</v>
      </c>
      <c r="AT12" s="12"/>
      <c r="AU12" s="13"/>
      <c r="AV12" s="13"/>
      <c r="AW12" s="27"/>
      <c r="AX12" s="13"/>
      <c r="AY12" s="13"/>
      <c r="AZ12" s="28"/>
      <c r="BA12" s="35"/>
      <c r="BB12" s="36"/>
      <c r="BC12" s="29"/>
      <c r="BD12" s="40"/>
      <c r="BE12" s="3"/>
      <c r="BF12" s="3"/>
      <c r="BH12" s="12"/>
      <c r="BI12" s="13"/>
      <c r="BJ12" s="13"/>
      <c r="BK12" s="27"/>
      <c r="BL12" s="13"/>
      <c r="BM12" s="13"/>
      <c r="BN12" s="28"/>
      <c r="BO12" s="35"/>
      <c r="BP12" s="36"/>
      <c r="BQ12" s="29"/>
      <c r="BR12" s="40"/>
      <c r="BS12" s="3"/>
      <c r="BT12" s="3"/>
      <c r="BV12" s="12"/>
      <c r="BW12" s="13"/>
      <c r="BX12" s="13"/>
      <c r="BY12" s="27"/>
      <c r="BZ12" s="13"/>
      <c r="CA12" s="13"/>
      <c r="CB12" s="28"/>
      <c r="CC12" s="35"/>
      <c r="CD12" s="36"/>
      <c r="CE12" s="29"/>
      <c r="CF12" s="40"/>
      <c r="CG12" s="3"/>
      <c r="CH12" s="3"/>
      <c r="CJ12" s="12"/>
      <c r="CK12" s="13"/>
      <c r="CL12" s="13"/>
      <c r="CM12" s="27"/>
      <c r="CN12" s="13"/>
      <c r="CO12" s="13"/>
      <c r="CP12" s="28"/>
      <c r="CQ12" s="35"/>
      <c r="CR12" s="36"/>
      <c r="CS12" s="29"/>
      <c r="CT12" s="40"/>
      <c r="CU12" s="3"/>
      <c r="CV12" s="3"/>
      <c r="CX12" s="12"/>
      <c r="CY12" s="13"/>
      <c r="CZ12" s="13"/>
      <c r="DA12" s="27"/>
      <c r="DB12" s="13"/>
      <c r="DC12" s="13"/>
      <c r="DD12" s="28"/>
      <c r="DE12" s="35"/>
      <c r="DF12" s="36"/>
      <c r="DG12" s="29"/>
      <c r="DH12" s="40"/>
      <c r="DI12" s="3"/>
      <c r="DJ12" s="3"/>
      <c r="DL12" s="12"/>
      <c r="DM12" s="13"/>
      <c r="DN12" s="13"/>
      <c r="DO12" s="27"/>
      <c r="DP12" s="13"/>
      <c r="DQ12" s="13"/>
      <c r="DR12" s="28"/>
      <c r="DS12" s="35"/>
      <c r="DT12" s="36"/>
      <c r="DU12" s="29"/>
      <c r="DV12" s="40"/>
      <c r="DW12" s="3" t="s">
        <v>19</v>
      </c>
      <c r="DX12" s="3"/>
      <c r="DZ12" s="12"/>
      <c r="EA12" s="13"/>
      <c r="EB12" s="13"/>
      <c r="EC12" s="27"/>
      <c r="ED12" s="13"/>
      <c r="EE12" s="13"/>
      <c r="EF12" s="28"/>
      <c r="EG12" s="35"/>
      <c r="EH12" s="36"/>
      <c r="EI12" s="29"/>
      <c r="EJ12" s="40"/>
      <c r="EK12" s="3" t="s">
        <v>19</v>
      </c>
      <c r="EL12" s="3"/>
      <c r="EN12" s="12"/>
      <c r="EO12" s="13"/>
      <c r="EP12" s="13"/>
      <c r="EQ12" s="27"/>
      <c r="ER12" s="13"/>
      <c r="ES12" s="13"/>
      <c r="ET12" s="28"/>
      <c r="EU12" s="35"/>
      <c r="EV12" s="36"/>
      <c r="EW12" s="29"/>
      <c r="EX12" s="40"/>
      <c r="EY12" s="3" t="s">
        <v>19</v>
      </c>
      <c r="EZ12" s="3"/>
      <c r="FB12" s="12"/>
      <c r="FC12" s="13"/>
      <c r="FD12" s="13"/>
      <c r="FE12" s="27"/>
      <c r="FF12" s="13"/>
      <c r="FG12" s="13"/>
      <c r="FH12" s="28"/>
      <c r="FI12" s="35"/>
      <c r="FJ12" s="36"/>
      <c r="FK12" s="29"/>
      <c r="FL12" s="40"/>
      <c r="FM12" s="3" t="s">
        <v>19</v>
      </c>
      <c r="FN12" s="3"/>
    </row>
    <row r="13" spans="1:170" x14ac:dyDescent="0.25">
      <c r="A13" s="3"/>
      <c r="B13" s="3"/>
      <c r="C13" s="3"/>
      <c r="D13" s="12"/>
      <c r="E13" s="13"/>
      <c r="F13" s="13"/>
      <c r="G13" s="27"/>
      <c r="H13" s="13"/>
      <c r="I13" s="13"/>
      <c r="J13" s="28"/>
      <c r="K13" s="35"/>
      <c r="L13" s="36"/>
      <c r="M13" s="29"/>
      <c r="N13" s="40"/>
      <c r="O13" s="3"/>
      <c r="P13" s="3"/>
      <c r="R13" s="12"/>
      <c r="S13" s="13"/>
      <c r="T13" s="13"/>
      <c r="U13" s="27"/>
      <c r="V13" s="13"/>
      <c r="W13" s="13"/>
      <c r="X13" s="28"/>
      <c r="Y13" s="35"/>
      <c r="Z13" s="36"/>
      <c r="AA13" s="29"/>
      <c r="AB13" s="40"/>
      <c r="AC13" s="3"/>
      <c r="AD13" s="3"/>
      <c r="AF13" s="12"/>
      <c r="AG13" s="13"/>
      <c r="AH13" s="13"/>
      <c r="AI13" s="27"/>
      <c r="AJ13" s="13"/>
      <c r="AK13" s="13"/>
      <c r="AL13" s="28"/>
      <c r="AM13" s="35"/>
      <c r="AN13" s="36"/>
      <c r="AO13" s="29"/>
      <c r="AP13" s="40"/>
      <c r="AQ13" s="3"/>
      <c r="AR13" s="3"/>
      <c r="AT13" s="12"/>
      <c r="AU13" s="13"/>
      <c r="AV13" s="13"/>
      <c r="AW13" s="27"/>
      <c r="AX13" s="13"/>
      <c r="AY13" s="13"/>
      <c r="AZ13" s="28"/>
      <c r="BA13" s="35"/>
      <c r="BB13" s="36"/>
      <c r="BC13" s="29"/>
      <c r="BD13" s="40"/>
      <c r="BE13" s="3"/>
      <c r="BF13" s="3"/>
      <c r="BH13" s="12"/>
      <c r="BI13" s="13"/>
      <c r="BJ13" s="13"/>
      <c r="BK13" s="27"/>
      <c r="BL13" s="13"/>
      <c r="BM13" s="13"/>
      <c r="BN13" s="28"/>
      <c r="BO13" s="35"/>
      <c r="BP13" s="36"/>
      <c r="BQ13" s="29"/>
      <c r="BR13" s="40"/>
      <c r="BS13" s="3"/>
      <c r="BT13" s="3"/>
      <c r="BV13" s="12"/>
      <c r="BW13" s="13"/>
      <c r="BX13" s="13"/>
      <c r="BY13" s="27"/>
      <c r="BZ13" s="13"/>
      <c r="CA13" s="13"/>
      <c r="CB13" s="28"/>
      <c r="CC13" s="35"/>
      <c r="CD13" s="36"/>
      <c r="CE13" s="29"/>
      <c r="CF13" s="40"/>
      <c r="CG13" s="3"/>
      <c r="CH13" s="3"/>
      <c r="CJ13" s="12"/>
      <c r="CK13" s="13"/>
      <c r="CL13" s="13"/>
      <c r="CM13" s="27"/>
      <c r="CN13" s="13"/>
      <c r="CO13" s="13"/>
      <c r="CP13" s="28"/>
      <c r="CQ13" s="35"/>
      <c r="CR13" s="36"/>
      <c r="CS13" s="29"/>
      <c r="CT13" s="40"/>
      <c r="CU13" s="3"/>
      <c r="CV13" s="3"/>
      <c r="CX13" s="12"/>
      <c r="CY13" s="13"/>
      <c r="CZ13" s="13"/>
      <c r="DA13" s="27"/>
      <c r="DB13" s="13"/>
      <c r="DC13" s="13"/>
      <c r="DD13" s="28"/>
      <c r="DE13" s="35"/>
      <c r="DF13" s="36"/>
      <c r="DG13" s="29"/>
      <c r="DH13" s="40"/>
      <c r="DI13" s="3"/>
      <c r="DJ13" s="3"/>
      <c r="DL13" s="12"/>
      <c r="DM13" s="13"/>
      <c r="DN13" s="13"/>
      <c r="DO13" s="27"/>
      <c r="DP13" s="13"/>
      <c r="DQ13" s="13"/>
      <c r="DR13" s="28"/>
      <c r="DS13" s="35"/>
      <c r="DT13" s="36"/>
      <c r="DU13" s="29"/>
      <c r="DV13" s="40"/>
      <c r="DW13" s="3"/>
      <c r="DX13" s="3"/>
      <c r="DZ13" s="12"/>
      <c r="EA13" s="13"/>
      <c r="EB13" s="13"/>
      <c r="EC13" s="27"/>
      <c r="ED13" s="13"/>
      <c r="EE13" s="13"/>
      <c r="EF13" s="28"/>
      <c r="EG13" s="35"/>
      <c r="EH13" s="36"/>
      <c r="EI13" s="29"/>
      <c r="EJ13" s="40"/>
      <c r="EK13" s="3"/>
      <c r="EL13" s="3"/>
      <c r="EN13" s="12"/>
      <c r="EO13" s="13"/>
      <c r="EP13" s="13"/>
      <c r="EQ13" s="27"/>
      <c r="ER13" s="13"/>
      <c r="ES13" s="13"/>
      <c r="ET13" s="28"/>
      <c r="EU13" s="35"/>
      <c r="EV13" s="36"/>
      <c r="EW13" s="29"/>
      <c r="EX13" s="40"/>
      <c r="EY13" s="3"/>
      <c r="EZ13" s="3"/>
      <c r="FB13" s="12"/>
      <c r="FC13" s="13"/>
      <c r="FD13" s="13"/>
      <c r="FE13" s="27"/>
      <c r="FF13" s="13"/>
      <c r="FG13" s="13"/>
      <c r="FH13" s="28"/>
      <c r="FI13" s="35"/>
      <c r="FJ13" s="36"/>
      <c r="FK13" s="29"/>
      <c r="FL13" s="40"/>
      <c r="FM13" s="3"/>
      <c r="FN13" s="3"/>
    </row>
    <row r="14" spans="1:170" x14ac:dyDescent="0.25">
      <c r="A14" s="3"/>
      <c r="B14" s="3"/>
      <c r="C14" s="3"/>
      <c r="D14" s="12"/>
      <c r="E14" s="13"/>
      <c r="F14" s="13"/>
      <c r="G14" s="27"/>
      <c r="H14" s="13"/>
      <c r="I14" s="13"/>
      <c r="J14" s="28"/>
      <c r="K14" s="14"/>
      <c r="L14" s="3"/>
      <c r="M14" s="29"/>
      <c r="N14" s="40"/>
      <c r="O14" s="3"/>
      <c r="P14" s="3"/>
      <c r="R14" s="12"/>
      <c r="S14" s="13"/>
      <c r="T14" s="13"/>
      <c r="U14" s="27"/>
      <c r="V14" s="13"/>
      <c r="W14" s="13"/>
      <c r="X14" s="28"/>
      <c r="Y14" s="14"/>
      <c r="Z14" s="3"/>
      <c r="AA14" s="29"/>
      <c r="AB14" s="40"/>
      <c r="AC14" s="3"/>
      <c r="AD14" s="3"/>
      <c r="AF14" s="12"/>
      <c r="AG14" s="13"/>
      <c r="AH14" s="13"/>
      <c r="AI14" s="27"/>
      <c r="AJ14" s="13"/>
      <c r="AK14" s="13"/>
      <c r="AL14" s="28"/>
      <c r="AM14" s="14"/>
      <c r="AN14" s="3"/>
      <c r="AO14" s="29"/>
      <c r="AP14" s="40"/>
      <c r="AQ14" s="3"/>
      <c r="AR14" s="3"/>
      <c r="AT14" s="12"/>
      <c r="AU14" s="13"/>
      <c r="AV14" s="13"/>
      <c r="AW14" s="27"/>
      <c r="AX14" s="13"/>
      <c r="AY14" s="13"/>
      <c r="AZ14" s="28"/>
      <c r="BA14" s="14"/>
      <c r="BB14" s="3"/>
      <c r="BC14" s="29"/>
      <c r="BD14" s="40"/>
      <c r="BE14" s="3"/>
      <c r="BF14" s="3"/>
      <c r="BH14" s="12"/>
      <c r="BI14" s="13"/>
      <c r="BJ14" s="13"/>
      <c r="BK14" s="27"/>
      <c r="BL14" s="13"/>
      <c r="BM14" s="13"/>
      <c r="BN14" s="28"/>
      <c r="BO14" s="14"/>
      <c r="BP14" s="3"/>
      <c r="BQ14" s="29"/>
      <c r="BR14" s="40"/>
      <c r="BS14" s="3"/>
      <c r="BT14" s="3"/>
      <c r="BV14" s="12"/>
      <c r="BW14" s="13"/>
      <c r="BX14" s="13"/>
      <c r="BY14" s="27"/>
      <c r="BZ14" s="13"/>
      <c r="CA14" s="13"/>
      <c r="CB14" s="28"/>
      <c r="CC14" s="14"/>
      <c r="CD14" s="3"/>
      <c r="CE14" s="29"/>
      <c r="CF14" s="40"/>
      <c r="CG14" s="3"/>
      <c r="CH14" s="3"/>
      <c r="CJ14" s="12"/>
      <c r="CK14" s="13"/>
      <c r="CL14" s="13"/>
      <c r="CM14" s="27"/>
      <c r="CN14" s="13"/>
      <c r="CO14" s="13"/>
      <c r="CP14" s="28"/>
      <c r="CQ14" s="14"/>
      <c r="CR14" s="3"/>
      <c r="CS14" s="29"/>
      <c r="CT14" s="40"/>
      <c r="CU14" s="3"/>
      <c r="CV14" s="3"/>
      <c r="CX14" s="12"/>
      <c r="CY14" s="13"/>
      <c r="CZ14" s="13"/>
      <c r="DA14" s="27"/>
      <c r="DB14" s="13"/>
      <c r="DC14" s="13"/>
      <c r="DD14" s="28"/>
      <c r="DE14" s="14"/>
      <c r="DF14" s="3"/>
      <c r="DG14" s="29"/>
      <c r="DH14" s="40"/>
      <c r="DI14" s="3"/>
      <c r="DJ14" s="3"/>
      <c r="DL14" s="12"/>
      <c r="DM14" s="13"/>
      <c r="DN14" s="13"/>
      <c r="DO14" s="27"/>
      <c r="DP14" s="13"/>
      <c r="DQ14" s="13"/>
      <c r="DR14" s="28"/>
      <c r="DS14" s="14"/>
      <c r="DT14" s="3"/>
      <c r="DU14" s="29"/>
      <c r="DV14" s="40"/>
      <c r="DW14" s="3"/>
      <c r="DX14" s="3"/>
      <c r="DZ14" s="12"/>
      <c r="EA14" s="13"/>
      <c r="EB14" s="13"/>
      <c r="EC14" s="27"/>
      <c r="ED14" s="13"/>
      <c r="EE14" s="13"/>
      <c r="EF14" s="28"/>
      <c r="EG14" s="14"/>
      <c r="EH14" s="3"/>
      <c r="EI14" s="29"/>
      <c r="EJ14" s="40"/>
      <c r="EK14" s="3"/>
      <c r="EL14" s="3"/>
      <c r="EN14" s="12"/>
      <c r="EO14" s="13"/>
      <c r="EP14" s="13"/>
      <c r="EQ14" s="27"/>
      <c r="ER14" s="13"/>
      <c r="ES14" s="13"/>
      <c r="ET14" s="28"/>
      <c r="EU14" s="14"/>
      <c r="EV14" s="3"/>
      <c r="EW14" s="29"/>
      <c r="EX14" s="40"/>
      <c r="EY14" s="3"/>
      <c r="EZ14" s="3"/>
      <c r="FB14" s="12"/>
      <c r="FC14" s="13"/>
      <c r="FD14" s="13"/>
      <c r="FE14" s="27"/>
      <c r="FF14" s="13"/>
      <c r="FG14" s="13"/>
      <c r="FH14" s="28"/>
      <c r="FI14" s="14"/>
      <c r="FJ14" s="3"/>
      <c r="FK14" s="29"/>
      <c r="FL14" s="40"/>
      <c r="FM14" s="3"/>
      <c r="FN14" s="3"/>
    </row>
    <row r="15" spans="1:170" x14ac:dyDescent="0.25">
      <c r="A15" s="3"/>
      <c r="B15" s="3"/>
      <c r="C15" s="3"/>
      <c r="D15" s="12"/>
      <c r="E15" s="3"/>
      <c r="F15" s="3"/>
      <c r="G15" s="27"/>
      <c r="H15" s="13"/>
      <c r="I15" s="13"/>
      <c r="J15" s="28"/>
      <c r="K15" s="14"/>
      <c r="L15" s="3"/>
      <c r="M15" s="29"/>
      <c r="N15" s="40"/>
      <c r="O15" s="3"/>
      <c r="P15" s="3"/>
      <c r="R15" s="12"/>
      <c r="S15" s="3"/>
      <c r="T15" s="3"/>
      <c r="U15" s="27"/>
      <c r="V15" s="13"/>
      <c r="W15" s="13"/>
      <c r="X15" s="28"/>
      <c r="Y15" s="14"/>
      <c r="Z15" s="3"/>
      <c r="AA15" s="29"/>
      <c r="AB15" s="40"/>
      <c r="AC15" s="3"/>
      <c r="AD15" s="3"/>
      <c r="AF15" s="12"/>
      <c r="AG15" s="3"/>
      <c r="AH15" s="3"/>
      <c r="AI15" s="27"/>
      <c r="AJ15" s="13"/>
      <c r="AK15" s="13"/>
      <c r="AL15" s="28"/>
      <c r="AM15" s="14"/>
      <c r="AN15" s="3"/>
      <c r="AO15" s="29"/>
      <c r="AP15" s="40"/>
      <c r="AQ15" s="3"/>
      <c r="AR15" s="3"/>
      <c r="AT15" s="12"/>
      <c r="AU15" s="3"/>
      <c r="AV15" s="3"/>
      <c r="AW15" s="27"/>
      <c r="AX15" s="13"/>
      <c r="AY15" s="13"/>
      <c r="AZ15" s="28"/>
      <c r="BA15" s="14"/>
      <c r="BB15" s="3"/>
      <c r="BC15" s="29"/>
      <c r="BD15" s="40"/>
      <c r="BE15" s="3"/>
      <c r="BF15" s="3"/>
      <c r="BH15" s="12"/>
      <c r="BI15" s="3"/>
      <c r="BJ15" s="3"/>
      <c r="BK15" s="27"/>
      <c r="BL15" s="13"/>
      <c r="BM15" s="13"/>
      <c r="BN15" s="28"/>
      <c r="BO15" s="14"/>
      <c r="BP15" s="3"/>
      <c r="BQ15" s="29"/>
      <c r="BR15" s="40"/>
      <c r="BS15" s="3"/>
      <c r="BT15" s="3"/>
      <c r="BV15" s="12"/>
      <c r="BW15" s="3"/>
      <c r="BX15" s="3"/>
      <c r="BY15" s="27"/>
      <c r="BZ15" s="13"/>
      <c r="CA15" s="13"/>
      <c r="CB15" s="28"/>
      <c r="CC15" s="14"/>
      <c r="CD15" s="3"/>
      <c r="CE15" s="29"/>
      <c r="CF15" s="40"/>
      <c r="CG15" s="3"/>
      <c r="CH15" s="3"/>
      <c r="CJ15" s="12"/>
      <c r="CK15" s="3"/>
      <c r="CL15" s="3"/>
      <c r="CM15" s="27"/>
      <c r="CN15" s="13"/>
      <c r="CO15" s="13"/>
      <c r="CP15" s="28"/>
      <c r="CQ15" s="14"/>
      <c r="CR15" s="3"/>
      <c r="CS15" s="29"/>
      <c r="CT15" s="40"/>
      <c r="CU15" s="3"/>
      <c r="CV15" s="3"/>
      <c r="CX15" s="12"/>
      <c r="CY15" s="3"/>
      <c r="CZ15" s="3"/>
      <c r="DA15" s="27"/>
      <c r="DB15" s="13"/>
      <c r="DC15" s="13"/>
      <c r="DD15" s="28"/>
      <c r="DE15" s="14"/>
      <c r="DF15" s="3"/>
      <c r="DG15" s="29"/>
      <c r="DH15" s="40"/>
      <c r="DI15" s="3"/>
      <c r="DJ15" s="3"/>
      <c r="DL15" s="12"/>
      <c r="DM15" s="3"/>
      <c r="DN15" s="3"/>
      <c r="DO15" s="27"/>
      <c r="DP15" s="13"/>
      <c r="DQ15" s="13"/>
      <c r="DR15" s="28"/>
      <c r="DS15" s="14"/>
      <c r="DT15" s="3"/>
      <c r="DU15" s="29"/>
      <c r="DV15" s="40"/>
      <c r="DW15" s="3"/>
      <c r="DX15" s="3"/>
      <c r="DZ15" s="12"/>
      <c r="EA15" s="3"/>
      <c r="EB15" s="3"/>
      <c r="EC15" s="27"/>
      <c r="ED15" s="13"/>
      <c r="EE15" s="13"/>
      <c r="EF15" s="28"/>
      <c r="EG15" s="14"/>
      <c r="EH15" s="3"/>
      <c r="EI15" s="29"/>
      <c r="EJ15" s="40"/>
      <c r="EK15" s="3"/>
      <c r="EL15" s="3"/>
      <c r="EN15" s="12"/>
      <c r="EO15" s="3"/>
      <c r="EP15" s="3"/>
      <c r="EQ15" s="27"/>
      <c r="ER15" s="13"/>
      <c r="ES15" s="13"/>
      <c r="ET15" s="28"/>
      <c r="EU15" s="14"/>
      <c r="EV15" s="3"/>
      <c r="EW15" s="29"/>
      <c r="EX15" s="40"/>
      <c r="EY15" s="3"/>
      <c r="EZ15" s="3"/>
      <c r="FB15" s="12"/>
      <c r="FC15" s="3"/>
      <c r="FD15" s="3"/>
      <c r="FE15" s="27"/>
      <c r="FF15" s="13"/>
      <c r="FG15" s="13"/>
      <c r="FH15" s="28"/>
      <c r="FI15" s="14"/>
      <c r="FJ15" s="3"/>
      <c r="FK15" s="29"/>
      <c r="FL15" s="40"/>
      <c r="FM15" s="3"/>
      <c r="FN15" s="3"/>
    </row>
    <row r="16" spans="1:170" ht="15.75" customHeight="1" x14ac:dyDescent="0.25">
      <c r="A16" s="3"/>
      <c r="B16" s="3"/>
      <c r="C16" s="3"/>
      <c r="D16" s="4"/>
      <c r="E16" s="42"/>
      <c r="F16" s="42"/>
      <c r="G16" s="43"/>
      <c r="H16" s="42"/>
      <c r="I16" s="42"/>
      <c r="J16" s="44"/>
      <c r="K16" s="45"/>
      <c r="L16" s="46"/>
      <c r="M16" s="47"/>
      <c r="N16" s="48"/>
      <c r="O16" s="3"/>
      <c r="P16" s="3"/>
      <c r="R16" s="4"/>
      <c r="S16" s="42"/>
      <c r="T16" s="42"/>
      <c r="U16" s="43"/>
      <c r="V16" s="42"/>
      <c r="W16" s="42"/>
      <c r="X16" s="44"/>
      <c r="Y16" s="45"/>
      <c r="Z16" s="46"/>
      <c r="AA16" s="47"/>
      <c r="AB16" s="48"/>
      <c r="AC16" s="3"/>
      <c r="AD16" s="3"/>
      <c r="AF16" s="4"/>
      <c r="AG16" s="42"/>
      <c r="AH16" s="42"/>
      <c r="AI16" s="43"/>
      <c r="AJ16" s="42"/>
      <c r="AK16" s="42"/>
      <c r="AL16" s="44"/>
      <c r="AM16" s="45"/>
      <c r="AN16" s="46"/>
      <c r="AO16" s="47"/>
      <c r="AP16" s="48"/>
      <c r="AQ16" s="3"/>
      <c r="AR16" s="3"/>
      <c r="AT16" s="4"/>
      <c r="AU16" s="42"/>
      <c r="AV16" s="42"/>
      <c r="AW16" s="43"/>
      <c r="AX16" s="42"/>
      <c r="AY16" s="42"/>
      <c r="AZ16" s="44"/>
      <c r="BA16" s="45"/>
      <c r="BB16" s="46"/>
      <c r="BC16" s="47"/>
      <c r="BD16" s="48"/>
      <c r="BE16" s="3"/>
      <c r="BF16" s="3"/>
      <c r="BH16" s="4"/>
      <c r="BI16" s="42"/>
      <c r="BJ16" s="42"/>
      <c r="BK16" s="43"/>
      <c r="BL16" s="42"/>
      <c r="BM16" s="42"/>
      <c r="BN16" s="44"/>
      <c r="BO16" s="45"/>
      <c r="BP16" s="46"/>
      <c r="BQ16" s="47"/>
      <c r="BR16" s="48"/>
      <c r="BS16" s="3"/>
      <c r="BT16" s="3"/>
      <c r="BV16" s="4"/>
      <c r="BW16" s="42"/>
      <c r="BX16" s="42"/>
      <c r="BY16" s="43"/>
      <c r="BZ16" s="42"/>
      <c r="CA16" s="42"/>
      <c r="CB16" s="44"/>
      <c r="CC16" s="45"/>
      <c r="CD16" s="46"/>
      <c r="CE16" s="47"/>
      <c r="CF16" s="48"/>
      <c r="CG16" s="3"/>
      <c r="CH16" s="3"/>
      <c r="CJ16" s="4"/>
      <c r="CK16" s="42"/>
      <c r="CL16" s="42"/>
      <c r="CM16" s="43"/>
      <c r="CN16" s="42"/>
      <c r="CO16" s="42"/>
      <c r="CP16" s="44"/>
      <c r="CQ16" s="45"/>
      <c r="CR16" s="46"/>
      <c r="CS16" s="47"/>
      <c r="CT16" s="48"/>
      <c r="CU16" s="3"/>
      <c r="CV16" s="3"/>
      <c r="CX16" s="4"/>
      <c r="CY16" s="42"/>
      <c r="CZ16" s="42"/>
      <c r="DA16" s="43"/>
      <c r="DB16" s="42"/>
      <c r="DC16" s="42"/>
      <c r="DD16" s="44"/>
      <c r="DE16" s="45"/>
      <c r="DF16" s="46"/>
      <c r="DG16" s="47"/>
      <c r="DH16" s="48"/>
      <c r="DI16" s="3"/>
      <c r="DJ16" s="3"/>
      <c r="DL16" s="4"/>
      <c r="DM16" s="42"/>
      <c r="DN16" s="42"/>
      <c r="DO16" s="43"/>
      <c r="DP16" s="42"/>
      <c r="DQ16" s="42"/>
      <c r="DR16" s="44"/>
      <c r="DS16" s="45"/>
      <c r="DT16" s="46"/>
      <c r="DU16" s="47"/>
      <c r="DV16" s="48"/>
      <c r="DW16" s="3"/>
      <c r="DX16" s="3"/>
      <c r="DZ16" s="4"/>
      <c r="EA16" s="42"/>
      <c r="EB16" s="42"/>
      <c r="EC16" s="43"/>
      <c r="ED16" s="42"/>
      <c r="EE16" s="42"/>
      <c r="EF16" s="44"/>
      <c r="EG16" s="45"/>
      <c r="EH16" s="46"/>
      <c r="EI16" s="47"/>
      <c r="EJ16" s="48"/>
      <c r="EK16" s="3"/>
      <c r="EL16" s="3"/>
      <c r="EN16" s="4"/>
      <c r="EO16" s="42"/>
      <c r="EP16" s="42"/>
      <c r="EQ16" s="43"/>
      <c r="ER16" s="42"/>
      <c r="ES16" s="42"/>
      <c r="ET16" s="44"/>
      <c r="EU16" s="45"/>
      <c r="EV16" s="46"/>
      <c r="EW16" s="47"/>
      <c r="EX16" s="48"/>
      <c r="EY16" s="3"/>
      <c r="EZ16" s="3"/>
      <c r="FB16" s="4"/>
      <c r="FC16" s="42"/>
      <c r="FD16" s="42"/>
      <c r="FE16" s="43"/>
      <c r="FF16" s="42"/>
      <c r="FG16" s="42"/>
      <c r="FH16" s="44"/>
      <c r="FI16" s="45"/>
      <c r="FJ16" s="46"/>
      <c r="FK16" s="47"/>
      <c r="FL16" s="48"/>
      <c r="FM16" s="3"/>
      <c r="FN16" s="3"/>
    </row>
    <row r="17" spans="1:170" x14ac:dyDescent="0.25">
      <c r="A17" s="3"/>
      <c r="B17" s="3"/>
      <c r="C17" s="3"/>
      <c r="D17" s="4"/>
      <c r="E17" s="49">
        <f>SUM(E4:E16)</f>
        <v>0</v>
      </c>
      <c r="F17" s="13" t="s">
        <v>48</v>
      </c>
      <c r="G17" s="49">
        <f>SUM(G4:G16)</f>
        <v>6500</v>
      </c>
      <c r="H17" s="13" t="s">
        <v>49</v>
      </c>
      <c r="I17" s="49">
        <f>SUM(I4:I16)</f>
        <v>11490</v>
      </c>
      <c r="J17" s="13" t="s">
        <v>50</v>
      </c>
      <c r="K17" s="49">
        <f>SUM(K4:K16)</f>
        <v>77150</v>
      </c>
      <c r="L17" s="13" t="s">
        <v>51</v>
      </c>
      <c r="M17" s="49">
        <f>SUM(M4:M16)</f>
        <v>131260</v>
      </c>
      <c r="N17" s="3" t="s">
        <v>52</v>
      </c>
      <c r="O17" s="3"/>
      <c r="P17" s="3"/>
      <c r="R17" s="4"/>
      <c r="S17" s="49">
        <f>SUM(S4:S16)</f>
        <v>0</v>
      </c>
      <c r="T17" s="13" t="s">
        <v>48</v>
      </c>
      <c r="U17" s="49">
        <f>SUM(U4:U16)</f>
        <v>7000</v>
      </c>
      <c r="V17" s="13" t="s">
        <v>49</v>
      </c>
      <c r="W17" s="49">
        <f>SUM(W4:W16)</f>
        <v>10090</v>
      </c>
      <c r="X17" s="13" t="s">
        <v>50</v>
      </c>
      <c r="Y17" s="49">
        <f>SUM(Y4:Y16)</f>
        <v>76500</v>
      </c>
      <c r="Z17" s="13" t="s">
        <v>51</v>
      </c>
      <c r="AA17" s="49">
        <f>SUM(AA4:AA16)</f>
        <v>23100</v>
      </c>
      <c r="AB17" s="3" t="s">
        <v>52</v>
      </c>
      <c r="AC17" s="3"/>
      <c r="AD17" s="3"/>
      <c r="AF17" s="4"/>
      <c r="AG17" s="49">
        <f>SUM(AG4:AG16)</f>
        <v>0</v>
      </c>
      <c r="AH17" s="13" t="s">
        <v>48</v>
      </c>
      <c r="AI17" s="49">
        <f>SUM(AI4:AI16)</f>
        <v>7000</v>
      </c>
      <c r="AJ17" s="13" t="s">
        <v>49</v>
      </c>
      <c r="AK17" s="49">
        <f>SUM(AK4:AK16)</f>
        <v>5890</v>
      </c>
      <c r="AL17" s="13" t="s">
        <v>50</v>
      </c>
      <c r="AM17" s="49">
        <f>SUM(AM4:AM16)</f>
        <v>77800</v>
      </c>
      <c r="AN17" s="13" t="s">
        <v>51</v>
      </c>
      <c r="AO17" s="49">
        <f>SUM(AO4:AO16)</f>
        <v>25500</v>
      </c>
      <c r="AP17" s="3" t="s">
        <v>52</v>
      </c>
      <c r="AQ17" s="3"/>
      <c r="AR17" s="3"/>
      <c r="AT17" s="4"/>
      <c r="AU17" s="49">
        <f>SUM(AU4:AU16)</f>
        <v>0</v>
      </c>
      <c r="AV17" s="13" t="s">
        <v>48</v>
      </c>
      <c r="AW17" s="49">
        <f>SUM(AW4:AW16)</f>
        <v>7200</v>
      </c>
      <c r="AX17" s="13" t="s">
        <v>49</v>
      </c>
      <c r="AY17" s="49">
        <f>SUM(AY4:AY16)</f>
        <v>10290</v>
      </c>
      <c r="AZ17" s="13" t="s">
        <v>50</v>
      </c>
      <c r="BA17" s="49">
        <f>SUM(BA4:BA16)</f>
        <v>78200</v>
      </c>
      <c r="BB17" s="13" t="s">
        <v>51</v>
      </c>
      <c r="BC17" s="49">
        <f>SUM(BC4:BC16)</f>
        <v>29100</v>
      </c>
      <c r="BD17" s="3" t="s">
        <v>52</v>
      </c>
      <c r="BE17" s="3"/>
      <c r="BF17" s="3"/>
      <c r="BH17" s="4"/>
      <c r="BI17" s="49">
        <f>SUM(BI4:BI16)</f>
        <v>0</v>
      </c>
      <c r="BJ17" s="13" t="s">
        <v>48</v>
      </c>
      <c r="BK17" s="49">
        <f>SUM(BK4:BK16)</f>
        <v>26800</v>
      </c>
      <c r="BL17" s="13" t="s">
        <v>49</v>
      </c>
      <c r="BM17" s="49">
        <f>SUM(BM4:BM16)</f>
        <v>9790</v>
      </c>
      <c r="BN17" s="13" t="s">
        <v>50</v>
      </c>
      <c r="BO17" s="49">
        <f>SUM(BO4:BO16)</f>
        <v>79500</v>
      </c>
      <c r="BP17" s="13" t="s">
        <v>51</v>
      </c>
      <c r="BQ17" s="49">
        <f>SUM(BQ4:BQ16)</f>
        <v>39600</v>
      </c>
      <c r="BR17" s="3" t="s">
        <v>52</v>
      </c>
      <c r="BS17" s="3"/>
      <c r="BT17" s="3"/>
      <c r="BV17" s="4"/>
      <c r="BW17" s="49">
        <f>SUM(BW4:BW16)</f>
        <v>0</v>
      </c>
      <c r="BX17" s="13" t="s">
        <v>48</v>
      </c>
      <c r="BY17" s="49">
        <f>SUM(BY4:BY16)</f>
        <v>7000</v>
      </c>
      <c r="BZ17" s="13" t="s">
        <v>49</v>
      </c>
      <c r="CA17" s="49">
        <f>SUM(CA4:CA16)</f>
        <v>10490</v>
      </c>
      <c r="CB17" s="13" t="s">
        <v>50</v>
      </c>
      <c r="CC17" s="49">
        <f>SUM(CC4:CC16)</f>
        <v>201000</v>
      </c>
      <c r="CD17" s="13" t="s">
        <v>51</v>
      </c>
      <c r="CE17" s="49">
        <f>SUM(CE4:CE16)</f>
        <v>182300</v>
      </c>
      <c r="CF17" s="3" t="s">
        <v>52</v>
      </c>
      <c r="CG17" s="3"/>
      <c r="CH17" s="3"/>
      <c r="CJ17" s="4"/>
      <c r="CK17" s="49">
        <f>SUM(CK4:CK16)</f>
        <v>0</v>
      </c>
      <c r="CL17" s="13" t="s">
        <v>48</v>
      </c>
      <c r="CM17" s="49">
        <f>SUM(CM4:CM16)</f>
        <v>7400</v>
      </c>
      <c r="CN17" s="13" t="s">
        <v>49</v>
      </c>
      <c r="CO17" s="49">
        <f>SUM(CO4:CO16)</f>
        <v>9200</v>
      </c>
      <c r="CP17" s="13" t="s">
        <v>50</v>
      </c>
      <c r="CQ17" s="49">
        <f>SUM(CQ4:CQ16)</f>
        <v>22500</v>
      </c>
      <c r="CR17" s="13" t="s">
        <v>51</v>
      </c>
      <c r="CS17" s="49">
        <f>SUM(CS4:CS16)</f>
        <v>39900</v>
      </c>
      <c r="CT17" s="3" t="s">
        <v>52</v>
      </c>
      <c r="CU17" s="3"/>
      <c r="CV17" s="3"/>
      <c r="CX17" s="4"/>
      <c r="CY17" s="49">
        <f>SUM(CY4:CY16)</f>
        <v>0</v>
      </c>
      <c r="CZ17" s="13" t="s">
        <v>48</v>
      </c>
      <c r="DA17" s="49">
        <f>SUM(DA4:DA16)</f>
        <v>7000</v>
      </c>
      <c r="DB17" s="13" t="s">
        <v>49</v>
      </c>
      <c r="DC17" s="49">
        <f>SUM(DC4:DC16)</f>
        <v>8800</v>
      </c>
      <c r="DD17" s="13" t="s">
        <v>50</v>
      </c>
      <c r="DE17" s="49">
        <f>SUM(DE4:DE16)</f>
        <v>23000</v>
      </c>
      <c r="DF17" s="13" t="s">
        <v>51</v>
      </c>
      <c r="DG17" s="49">
        <f>SUM(DG4:DG16)</f>
        <v>144000</v>
      </c>
      <c r="DH17" s="3" t="s">
        <v>52</v>
      </c>
      <c r="DI17" s="3"/>
      <c r="DJ17" s="3"/>
      <c r="DL17" s="4"/>
      <c r="DM17" s="49">
        <f>SUM(DM4:DM16)</f>
        <v>0</v>
      </c>
      <c r="DN17" s="13" t="s">
        <v>48</v>
      </c>
      <c r="DO17" s="49">
        <f>SUM(DO4:DO16)</f>
        <v>7000</v>
      </c>
      <c r="DP17" s="13" t="s">
        <v>49</v>
      </c>
      <c r="DQ17" s="49">
        <f>SUM(DQ4:DQ16)</f>
        <v>24990</v>
      </c>
      <c r="DR17" s="13" t="s">
        <v>50</v>
      </c>
      <c r="DS17" s="49">
        <f>SUM(DS4:DS16)</f>
        <v>78500</v>
      </c>
      <c r="DT17" s="13" t="s">
        <v>51</v>
      </c>
      <c r="DU17" s="49">
        <f>SUM(DU4:DU16)</f>
        <v>43400</v>
      </c>
      <c r="DV17" s="3" t="s">
        <v>52</v>
      </c>
      <c r="DW17" s="3"/>
      <c r="DX17" s="3"/>
      <c r="DZ17" s="4"/>
      <c r="EA17" s="49">
        <f>SUM(EA4:EA16)</f>
        <v>0</v>
      </c>
      <c r="EB17" s="13" t="s">
        <v>48</v>
      </c>
      <c r="EC17" s="49">
        <f>SUM(EC4:EC16)</f>
        <v>7100</v>
      </c>
      <c r="ED17" s="13" t="s">
        <v>49</v>
      </c>
      <c r="EE17" s="49">
        <f>SUM(EE4:EE16)</f>
        <v>9790</v>
      </c>
      <c r="EF17" s="13" t="s">
        <v>50</v>
      </c>
      <c r="EG17" s="49">
        <f>SUM(EG4:EG16)</f>
        <v>77700</v>
      </c>
      <c r="EH17" s="13" t="s">
        <v>51</v>
      </c>
      <c r="EI17" s="49">
        <f>SUM(EI4:EI16)</f>
        <v>150400</v>
      </c>
      <c r="EJ17" s="3" t="s">
        <v>52</v>
      </c>
      <c r="EK17" s="3"/>
      <c r="EL17" s="3"/>
      <c r="EN17" s="4"/>
      <c r="EO17" s="49">
        <f>SUM(EO4:EO16)</f>
        <v>0</v>
      </c>
      <c r="EP17" s="13" t="s">
        <v>48</v>
      </c>
      <c r="EQ17" s="49">
        <f>SUM(EQ4:EQ16)</f>
        <v>6900</v>
      </c>
      <c r="ER17" s="13" t="s">
        <v>49</v>
      </c>
      <c r="ES17" s="49">
        <f>SUM(ES4:ES16)</f>
        <v>10190</v>
      </c>
      <c r="ET17" s="13" t="s">
        <v>50</v>
      </c>
      <c r="EU17" s="49">
        <f>SUM(EU4:EU16)</f>
        <v>78900</v>
      </c>
      <c r="EV17" s="13" t="s">
        <v>51</v>
      </c>
      <c r="EW17" s="49">
        <f>SUM(EW4:EW16)</f>
        <v>65100</v>
      </c>
      <c r="EX17" s="3" t="s">
        <v>52</v>
      </c>
      <c r="EY17" s="3"/>
      <c r="EZ17" s="3"/>
      <c r="FB17" s="4"/>
      <c r="FC17" s="49">
        <f>SUM(FC4:FC16)</f>
        <v>0</v>
      </c>
      <c r="FD17" s="13" t="s">
        <v>48</v>
      </c>
      <c r="FE17" s="49">
        <f>SUM(FE4:FE16)</f>
        <v>17500</v>
      </c>
      <c r="FF17" s="13" t="s">
        <v>49</v>
      </c>
      <c r="FG17" s="49">
        <f>SUM(FG4:FG16)</f>
        <v>11390</v>
      </c>
      <c r="FH17" s="13" t="s">
        <v>50</v>
      </c>
      <c r="FI17" s="49">
        <f>SUM(FI4:FI16)</f>
        <v>125000</v>
      </c>
      <c r="FJ17" s="13" t="s">
        <v>51</v>
      </c>
      <c r="FK17" s="49">
        <f>SUM(FK4:FK16)</f>
        <v>95800</v>
      </c>
      <c r="FL17" s="3" t="s">
        <v>52</v>
      </c>
      <c r="FM17" s="3"/>
      <c r="FN17" s="3"/>
    </row>
  </sheetData>
  <mergeCells count="48">
    <mergeCell ref="E1:N1"/>
    <mergeCell ref="S1:AB1"/>
    <mergeCell ref="AG1:AP1"/>
    <mergeCell ref="AU1:BD1"/>
    <mergeCell ref="BI1:BR1"/>
    <mergeCell ref="BW1:CF1"/>
    <mergeCell ref="CK1:CT1"/>
    <mergeCell ref="CY1:DH1"/>
    <mergeCell ref="DM1:DV1"/>
    <mergeCell ref="EA1:EJ1"/>
    <mergeCell ref="EO1:EX1"/>
    <mergeCell ref="FC1:FL1"/>
    <mergeCell ref="E2:F2"/>
    <mergeCell ref="G2:J2"/>
    <mergeCell ref="K2:N2"/>
    <mergeCell ref="S2:T2"/>
    <mergeCell ref="U2:X2"/>
    <mergeCell ref="Y2:AB2"/>
    <mergeCell ref="AG2:AH2"/>
    <mergeCell ref="AI2:AL2"/>
    <mergeCell ref="AM2:AP2"/>
    <mergeCell ref="AU2:AV2"/>
    <mergeCell ref="AW2:AZ2"/>
    <mergeCell ref="BA2:BD2"/>
    <mergeCell ref="BI2:BJ2"/>
    <mergeCell ref="BK2:BN2"/>
    <mergeCell ref="BO2:BR2"/>
    <mergeCell ref="BW2:BX2"/>
    <mergeCell ref="BY2:CB2"/>
    <mergeCell ref="CC2:CF2"/>
    <mergeCell ref="CK2:CL2"/>
    <mergeCell ref="CM2:CP2"/>
    <mergeCell ref="CQ2:CT2"/>
    <mergeCell ref="CY2:CZ2"/>
    <mergeCell ref="DA2:DD2"/>
    <mergeCell ref="DE2:DH2"/>
    <mergeCell ref="DM2:DN2"/>
    <mergeCell ref="DO2:DR2"/>
    <mergeCell ref="DS2:DV2"/>
    <mergeCell ref="EA2:EB2"/>
    <mergeCell ref="EC2:EF2"/>
    <mergeCell ref="FE2:FH2"/>
    <mergeCell ref="FI2:FL2"/>
    <mergeCell ref="EG2:EJ2"/>
    <mergeCell ref="EO2:EP2"/>
    <mergeCell ref="EQ2:ET2"/>
    <mergeCell ref="EU2:EX2"/>
    <mergeCell ref="FC2:FD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Kopi</dc:creator>
  <dc:description/>
  <cp:lastModifiedBy>Kopi</cp:lastModifiedBy>
  <cp:revision>0</cp:revision>
  <dcterms:created xsi:type="dcterms:W3CDTF">2023-05-14T16:43:40Z</dcterms:created>
  <dcterms:modified xsi:type="dcterms:W3CDTF">2026-09-09T20:24:20Z</dcterms:modified>
  <dc:language>en-US</dc:language>
</cp:coreProperties>
</file>